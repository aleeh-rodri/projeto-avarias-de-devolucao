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updateLinks="always" codeName="EstaPastaDeTrabalho"/>
  <mc:AlternateContent xmlns:mc="http://schemas.openxmlformats.org/markup-compatibility/2006">
    <mc:Choice Requires="x15">
      <x15ac:absPath xmlns:x15ac="http://schemas.microsoft.com/office/spreadsheetml/2010/11/ac" url="https://localiza-my.sharepoint.com/personal/caio_albanese_localiza_com/Documents/Documentos/Projetos VSCode/Agente avarias de devolucao v2/AGENTE_AVARIAS_DEVOLUCAO/"/>
    </mc:Choice>
  </mc:AlternateContent>
  <xr:revisionPtr revIDLastSave="1" documentId="13_ncr:1_{2D48D04D-7392-4740-8589-EC7E492F1C2E}" xr6:coauthVersionLast="47" xr6:coauthVersionMax="47" xr10:uidLastSave="{3459AC77-5634-45C4-80F1-CE8AC3D7F107}"/>
  <bookViews>
    <workbookView xWindow="-110" yWindow="-110" windowWidth="19420" windowHeight="11500" tabRatio="779" xr2:uid="{D0224503-CB7A-428B-80EA-479CA68E6F74}"/>
  </bookViews>
  <sheets>
    <sheet name="Orçamento_Padrão" sheetId="5" r:id="rId1"/>
    <sheet name="LPU" sheetId="11" state="hidden" r:id="rId2"/>
    <sheet name="Detalhamento_Avarias" sheetId="7" r:id="rId3"/>
    <sheet name="Checklist" sheetId="8" state="hidden" r:id="rId4"/>
  </sheets>
  <externalReferences>
    <externalReference r:id="rId5"/>
  </externalReferences>
  <definedNames>
    <definedName name="_xlnm.Print_Area" localSheetId="2">Detalhamento_Avarias!$A$1:$L$47</definedName>
    <definedName name="_xlnm.Print_Area" localSheetId="0">Orçamento_Padrão!$A$1:$G$62</definedName>
    <definedName name="DadosExternos_1" localSheetId="1" hidden="1">LPU!$A$1:$C$175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9" i="5" l="1"/>
  <c r="C32" i="7"/>
  <c r="K32" i="7"/>
  <c r="C10" i="7"/>
  <c r="C16" i="7" l="1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4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C24" i="5"/>
  <c r="C12" i="7" l="1"/>
  <c r="B47" i="5" l="1"/>
  <c r="B48" i="5"/>
  <c r="B49" i="5"/>
  <c r="B50" i="5"/>
  <c r="B51" i="5"/>
  <c r="B52" i="5"/>
  <c r="B53" i="5"/>
  <c r="B54" i="5"/>
  <c r="B55" i="5"/>
  <c r="B56" i="5"/>
  <c r="B57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B24" i="5" l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H59" i="5"/>
  <c r="C8" i="7" l="1"/>
  <c r="C7" i="7"/>
  <c r="C11" i="7"/>
  <c r="K16" i="7" l="1"/>
  <c r="E11" i="5"/>
  <c r="K11" i="7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292D9AA-1CFF-483C-9764-8CD26B91D753}" keepAlive="1" name="Consulta - Page001" description="Conexão com a consulta 'Page001' na pasta de trabalho." type="5" refreshedVersion="0" background="1">
    <dbPr connection="Provider=Microsoft.Mashup.OleDb.1;Data Source=$Workbook$;Location=Page001;Extended Properties=&quot;&quot;" command="SELECT * FROM [Page001]"/>
  </connection>
  <connection id="2" xr16:uid="{49270E87-6775-4C7C-ABCC-AE00307928D9}" keepAlive="1" name="Consulta - Table001 (Page 1)" description="Conexão com a consulta 'Table001 (Page 1)' na pasta de trabalho." type="5" refreshedVersion="8" background="1" saveData="1">
    <dbPr connection="Provider=Microsoft.Mashup.OleDb.1;Data Source=$Workbook$;Location=&quot;Table001 (Page 1)&quot;;Extended Properties=&quot;&quot;" command="SELECT * FROM [Table001 (Page 1)]"/>
  </connection>
  <connection id="3" xr16:uid="{E96CA761-4FCE-48E8-87B9-BF3D8809E62F}" keepAlive="1" name="Consulta - Table001 (Page 1) (2)" description="Conexão com a consulta 'Table001 (Page 1) (2)' na pasta de trabalho." type="5" refreshedVersion="8" background="1" saveData="1">
    <dbPr connection="Provider=Microsoft.Mashup.OleDb.1;Data Source=$Workbook$;Location=&quot;Table001 (Page 1) (2)&quot;;Extended Properties=&quot;&quot;" command="SELECT * FROM [Table001 (Page 1) (2)]"/>
  </connection>
</connections>
</file>

<file path=xl/sharedStrings.xml><?xml version="1.0" encoding="utf-8"?>
<sst xmlns="http://schemas.openxmlformats.org/spreadsheetml/2006/main" count="558" uniqueCount="252">
  <si>
    <t>VALOR TOTAL</t>
  </si>
  <si>
    <t>Nº Item</t>
  </si>
  <si>
    <t>Tipo de Despesa</t>
  </si>
  <si>
    <t>Descrição</t>
  </si>
  <si>
    <t>Qtd.</t>
  </si>
  <si>
    <t>Valor do Serviço/Item</t>
  </si>
  <si>
    <t>Total</t>
  </si>
  <si>
    <t>Placa:</t>
  </si>
  <si>
    <t>Contrato:</t>
  </si>
  <si>
    <t>Modelo:</t>
  </si>
  <si>
    <t>Cor:</t>
  </si>
  <si>
    <t>Valor</t>
  </si>
  <si>
    <t>RUP2D06</t>
  </si>
  <si>
    <t>Polimento</t>
  </si>
  <si>
    <t>ITENS DA SOLICITAÇÃO DE SERVIÇOS RELACIONADOS A ESTA COBRANÇA</t>
  </si>
  <si>
    <t>Avarias de devolução</t>
  </si>
  <si>
    <t>Cliente</t>
  </si>
  <si>
    <t>Detalhamento da Cobrança</t>
  </si>
  <si>
    <t>VALOR</t>
  </si>
  <si>
    <t>Acendedor do carro</t>
  </si>
  <si>
    <t>R$60,00</t>
  </si>
  <si>
    <t>Antena (veiculo leve)</t>
  </si>
  <si>
    <t>R$130,00</t>
  </si>
  <si>
    <t>Calota (VALOR DO JOGO) Veiculo pequeno</t>
  </si>
  <si>
    <t>R$135,00</t>
  </si>
  <si>
    <t>Chave de Roda</t>
  </si>
  <si>
    <t>R$80,00</t>
  </si>
  <si>
    <t>Frisos do teto</t>
  </si>
  <si>
    <t>R$160,00</t>
  </si>
  <si>
    <t>Higienização Interna (em caso de sujeira severa será acrescentado R$150)</t>
  </si>
  <si>
    <t>R$250,00</t>
  </si>
  <si>
    <t>Lavagem motor</t>
  </si>
  <si>
    <t>R$120,00</t>
  </si>
  <si>
    <t>Macaco (veiculo leve)</t>
  </si>
  <si>
    <t>R$180,00</t>
  </si>
  <si>
    <t>Manual</t>
  </si>
  <si>
    <t>R$150,00</t>
  </si>
  <si>
    <t>Mão de obra para troca de peças fixas da lataria que necessitam de solda (Teto, Laterais, Colunas, Caixa de ar)</t>
  </si>
  <si>
    <t>R$750,00</t>
  </si>
  <si>
    <t>Mão de obra para troca de peças moveis que não necessitam de solda (Parachoques, Paralamas, Porta, Capô, Tampa traseira,
Lanternas, Farois e Retrovisores)</t>
  </si>
  <si>
    <t>R$140,00</t>
  </si>
  <si>
    <t>Mão de obra utilizada para troca de vidros</t>
  </si>
  <si>
    <t>Martelinho de ouro (Amassado que não afetou a pintura)</t>
  </si>
  <si>
    <t>R$230,00</t>
  </si>
  <si>
    <t>Martelinho de ouro (por peça, com até 3 mossas)</t>
  </si>
  <si>
    <t>Pintura de peça grande quando o risco afetou a pintura (porta, capo, teto,tampa do porta malas, porta malas interno, laterais)</t>
  </si>
  <si>
    <t>R$340,00</t>
  </si>
  <si>
    <t>Pintura de peça pequena, quando o risco afetou a pintura (paralamas, caixa de ar)</t>
  </si>
  <si>
    <t>R$280,00</t>
  </si>
  <si>
    <t>Pintura do para-choque dianteiro e traseiro</t>
  </si>
  <si>
    <t>R$320,00</t>
  </si>
  <si>
    <t>Placa dianteira</t>
  </si>
  <si>
    <t>Placa traseira</t>
  </si>
  <si>
    <t>Polimento - Utilitários Pesados e SUV</t>
  </si>
  <si>
    <t>R$350,00</t>
  </si>
  <si>
    <t>Polimento (Veículos pequenos e médios)</t>
  </si>
  <si>
    <t>Recuperação e pintura de peças grandes amassadas (capo, teto, portas, tampa do porta malas, porta malas interno, laterais)</t>
  </si>
  <si>
    <t>R$420,00</t>
  </si>
  <si>
    <t>Recuperação e pintura de peças pequenas amassadas (paralamas, caixa de ar)</t>
  </si>
  <si>
    <t>R$370,00</t>
  </si>
  <si>
    <t>Recuperação e pintura do para-choque dianteiro e traseiro</t>
  </si>
  <si>
    <t>R$400,00</t>
  </si>
  <si>
    <t>Reparo de parabrisa</t>
  </si>
  <si>
    <t>R$260,00</t>
  </si>
  <si>
    <t>Reparo de peça plástica grande (parachoque dianteiro e traseiro)</t>
  </si>
  <si>
    <t>R$270,00</t>
  </si>
  <si>
    <t>Reparo de peça plástica média (moduras paralamas, molduras da tampa traseira, molduras do parachoque)</t>
  </si>
  <si>
    <t>R$220,00</t>
  </si>
  <si>
    <t>Reparo de peça plástica pequena (retrovisor)</t>
  </si>
  <si>
    <t>Reparo em bancos e forro do teto rasgados e furados (por peça)</t>
  </si>
  <si>
    <t>Reparo Roda de ferro amassada (por roda)</t>
  </si>
  <si>
    <t>R$100,00</t>
  </si>
  <si>
    <t>Reparo Roda de liga leve (reparo por roda)</t>
  </si>
  <si>
    <t>Retirada de adesivo</t>
  </si>
  <si>
    <t>R$110,00</t>
  </si>
  <si>
    <t>Retirar porta escadas, tampar furos do teto e pintar (OBS: não está incluso os frisos do teto, cobrar a parte como peça)</t>
  </si>
  <si>
    <t>R$470,00</t>
  </si>
  <si>
    <t>Retrovisor riscado (pintura)</t>
  </si>
  <si>
    <t>Roda de Ferro ARO 13/14/15 (troca)</t>
  </si>
  <si>
    <t>Tapete de borracha (VALOR DO JOGO)</t>
  </si>
  <si>
    <t>Triangulo</t>
  </si>
  <si>
    <t>R$50,00</t>
  </si>
  <si>
    <t>Bateria</t>
  </si>
  <si>
    <t>SOB CONSULTA</t>
  </si>
  <si>
    <t>Chave principal</t>
  </si>
  <si>
    <t>Chave reserva</t>
  </si>
  <si>
    <t>Macaco (veiculo pesado)</t>
  </si>
  <si>
    <t>Troca de Bateria Automotiva</t>
  </si>
  <si>
    <t>Reposição da Chave Principal do Veículo</t>
  </si>
  <si>
    <t>Reposição da Chave Reserva do Veículo</t>
  </si>
  <si>
    <t>Reposição de macaco automotivo</t>
  </si>
  <si>
    <t>Reposição de Chave de Roda</t>
  </si>
  <si>
    <t>Mão de obra para troca de teto com solda</t>
  </si>
  <si>
    <t>Mão de obra para troca de lateral esquerda com solda</t>
  </si>
  <si>
    <t>Mão de obra para troca de lateral direita com solda</t>
  </si>
  <si>
    <t>Mão de obra para troca de coluna dianteira esquerda com solda</t>
  </si>
  <si>
    <t>Mão de obra para troca de coluna dianteira direita com solda</t>
  </si>
  <si>
    <t>Mão de obra para troca de coluna traseira esquerda com solda</t>
  </si>
  <si>
    <t>Mão de obra para troca de coluna traseira direita com solda</t>
  </si>
  <si>
    <t>Mão de obra para troca de caixa de ar lado esquerdo com solda</t>
  </si>
  <si>
    <t>Mão de obra para troca de caixa de ar lado direito com solda</t>
  </si>
  <si>
    <t>Reposição de Acendedor Veicular</t>
  </si>
  <si>
    <t>Reposição de Triângulo de Segurança Veicular</t>
  </si>
  <si>
    <t>Serviço de retirada de Porta-Escadas, Vedação e Pintura do Teto</t>
  </si>
  <si>
    <t>Recuperação e pintura capô</t>
  </si>
  <si>
    <t>Recuperação e pintura teto</t>
  </si>
  <si>
    <t>Recuperação e pintura porta dianteira esquerda</t>
  </si>
  <si>
    <t>Recuperação e pintura porta dianteira direita</t>
  </si>
  <si>
    <t>Recuperação e pintura porta traseira esquerda</t>
  </si>
  <si>
    <t>Recuperação e pintura porta traseira direita</t>
  </si>
  <si>
    <t>Recuperação e pintura tampa do porta-malas</t>
  </si>
  <si>
    <t>Recuperação e pintura porta-malas interno</t>
  </si>
  <si>
    <t>Recuperação e pintura lateral esquerda</t>
  </si>
  <si>
    <t>Recuperação e pintura lateral direita</t>
  </si>
  <si>
    <t>Recuperação e Pintura do Para-choque dianteiro</t>
  </si>
  <si>
    <t>Recuperação e Pintura do Para-choque traseiro</t>
  </si>
  <si>
    <t>Recuperação e pintura paralama dianteiro esquerdo</t>
  </si>
  <si>
    <t>Recuperação e pintura paralama dianteiro direito</t>
  </si>
  <si>
    <t>Recuperação e pintura paralama traseiro esquerdo</t>
  </si>
  <si>
    <t>Recuperação e pintura paralama traseiro direito</t>
  </si>
  <si>
    <t>Recuperação e pintura caixa de ar lado esquerdo</t>
  </si>
  <si>
    <t>Recuperação e pintura caixa de ar lado direito</t>
  </si>
  <si>
    <t>Serviço de Polimento</t>
  </si>
  <si>
    <t>Substituição da roda de ferro dianteira esquerda, aro 13.</t>
  </si>
  <si>
    <t>Substituição da roda de ferro dianteira direita, aro 13.</t>
  </si>
  <si>
    <t>Substituição da roda de ferro traseira esquerda, aro 13.</t>
  </si>
  <si>
    <t>Substituição da roda de ferro traseira direita, aro 13.</t>
  </si>
  <si>
    <t>Substituição da roda de ferro dianteira esquerda, aro 14.</t>
  </si>
  <si>
    <t>Substituição da roda de ferro dianteira direita, aro 14.</t>
  </si>
  <si>
    <t>Substituição da roda de ferro traseira esquerda, aro 14.</t>
  </si>
  <si>
    <t>Substituição da roda de ferro traseira direita, aro 14.</t>
  </si>
  <si>
    <t>Substituição da roda de ferro dianteira esquerda, aro 15.</t>
  </si>
  <si>
    <t>Substituição da roda de ferro dianteira direita, aro 15.</t>
  </si>
  <si>
    <t>Substituição da roda de ferro traseira esquerda, aro 15.</t>
  </si>
  <si>
    <t>Substituição da roda de ferro traseira direita, aro 15.</t>
  </si>
  <si>
    <t>Pintura da Porta dianteira direita</t>
  </si>
  <si>
    <t>Pintura da Porta traseira direita</t>
  </si>
  <si>
    <t>Pintura da Porta dianteira esquerda</t>
  </si>
  <si>
    <t>Pintura da Porta traseira esquerda</t>
  </si>
  <si>
    <t>Pintura do Capô</t>
  </si>
  <si>
    <t>Pintura do Teto</t>
  </si>
  <si>
    <t>Pintura da Tampa do porta-malas</t>
  </si>
  <si>
    <t>Pintura do Porta-malas interno</t>
  </si>
  <si>
    <t xml:space="preserve">Pintura da Lateral esquerda </t>
  </si>
  <si>
    <t>Pintura da Lateral direita</t>
  </si>
  <si>
    <t>Reparo banco do motorista rasgado ou furado</t>
  </si>
  <si>
    <t>Reparo banco do passageiro rasgado ou furado</t>
  </si>
  <si>
    <t>Reparo banco traseiro esquerdo rasgado ou furado</t>
  </si>
  <si>
    <t>Reparo banco traseiro central rasgado ou furado</t>
  </si>
  <si>
    <t>Reparo banco traseiro direito rasgado ou furado</t>
  </si>
  <si>
    <t>Reparo forro do teto rasgado ou furado</t>
  </si>
  <si>
    <t>Pintura do para-choque dianteiro</t>
  </si>
  <si>
    <t>Pintura do para-choque traseiro</t>
  </si>
  <si>
    <t>Pintura do paralama dianteiro esquerdo</t>
  </si>
  <si>
    <t>Pintura do paralama dianteiro direito</t>
  </si>
  <si>
    <t>Pintura do paralama traseiro esquerdo</t>
  </si>
  <si>
    <t>Pintura do paralama traseiro direito</t>
  </si>
  <si>
    <t>Pintura da caixa de ar esquerda</t>
  </si>
  <si>
    <t>Pintura da caixa de ar direita</t>
  </si>
  <si>
    <t xml:space="preserve">Reparo de peça plástica do para-choque dianteiro </t>
  </si>
  <si>
    <t>Reparo de peça plástica do para-choque traseiro</t>
  </si>
  <si>
    <t>Reparo de para-brisa dianteiro</t>
  </si>
  <si>
    <t>Reparo de para-brisa traseiro</t>
  </si>
  <si>
    <t>Higienização Interna</t>
  </si>
  <si>
    <t>Serviço de Higienização Interna</t>
  </si>
  <si>
    <t>Serviço de Higienização Interna  (Sujeira Severa)</t>
  </si>
  <si>
    <t>Serviço de martelinho de ouro – Capô</t>
  </si>
  <si>
    <t>Serviço de martelinho de ouro – Teto</t>
  </si>
  <si>
    <t>Serviço de martelinho de ouro – Porta dianteira esquerda</t>
  </si>
  <si>
    <t>Serviço de martelinho de ouro – Porta dianteira direita</t>
  </si>
  <si>
    <t>Serviço de martelinho de ouro – Porta traseira esquerda</t>
  </si>
  <si>
    <t>Serviço de martelinho de ouro – Porta traseira direita</t>
  </si>
  <si>
    <t>Serviço de martelinho de ouro – Paralama dianteiro esquerdo</t>
  </si>
  <si>
    <t>Serviço de martelinho de ouro – Paralama dianteiro direito</t>
  </si>
  <si>
    <t>Serviço de martelinho de ouro – Paralama traseiro esquerdo</t>
  </si>
  <si>
    <t>Serviço de martelinho de ouro – Paralama traseiro direito</t>
  </si>
  <si>
    <t>Serviço de martelinho de ouro – Tampa do porta-malas</t>
  </si>
  <si>
    <t>Serviço de martelinho de ouro – Coluna central esquerda</t>
  </si>
  <si>
    <t>Serviço de martelinho de ouro – Coluna central direita</t>
  </si>
  <si>
    <t>Serviço de martelinho de ouro – Coluna dianteira esquerda</t>
  </si>
  <si>
    <t>Serviço de martelinho de ouro – Coluna dianteira direita</t>
  </si>
  <si>
    <t>Serviço de martelinho de ouro – Coluna traseira esquerda</t>
  </si>
  <si>
    <t>Serviço de martelinho de ouro – Coluna traseira direita</t>
  </si>
  <si>
    <t>Reparo de Roda de Liga Leve dianteira direita</t>
  </si>
  <si>
    <t>Reparo de Roda de Liga Leve dianteira esquerda</t>
  </si>
  <si>
    <t>Reparo de Roda de Liga Leve traseira direita</t>
  </si>
  <si>
    <t>Reparo de Roda de Liga Leve traseira esquerda</t>
  </si>
  <si>
    <t>Reparo de moldura plástica de paralama dianteiro esquerdo</t>
  </si>
  <si>
    <t>Reparo de moldura plástica de paralama dianteiro direito</t>
  </si>
  <si>
    <t>Reparo de moldura plástica de paralama traseiro esquerdo</t>
  </si>
  <si>
    <t>Reparo de moldura plástica de paralama traseiro direito</t>
  </si>
  <si>
    <t>Reparo de moldura plástica da tampa traseira</t>
  </si>
  <si>
    <t>Reparo de moldura plástica do para-choque dianteiro esquerdo</t>
  </si>
  <si>
    <t>Reparo de moldura plástica do para-choque dianteiro direito</t>
  </si>
  <si>
    <t>Reparo de moldura plástica do para-choque traseiro esquerdo</t>
  </si>
  <si>
    <t>Reparo de moldura plástica do para-choque traseiro direito</t>
  </si>
  <si>
    <t>Mão de obra para troca de para-brisa</t>
  </si>
  <si>
    <t>Mão de obra para substituição de vidro lateral traseiro direito</t>
  </si>
  <si>
    <t>Mão de obra para substituição de vidro lateral traseiro esquerdo</t>
  </si>
  <si>
    <t>Mão de obra para substituição de vidro lateral dianteiro direito</t>
  </si>
  <si>
    <t>Mão de obra para substituição de vidro lateral dianteiro esquerdo</t>
  </si>
  <si>
    <t>Mão de obra para substituição do vidro traseiro</t>
  </si>
  <si>
    <t>Mão de obra para troca de vidro do teto solar</t>
  </si>
  <si>
    <t>Troca de frisos do teto</t>
  </si>
  <si>
    <t>Reposição de frisos do teto</t>
  </si>
  <si>
    <t>Reposição do jogo de tapetes de borracha</t>
  </si>
  <si>
    <t>Troca de jogo de tapetes de borracha</t>
  </si>
  <si>
    <t>Reposição de manual do veículo – item ausente</t>
  </si>
  <si>
    <t>Mão de obra para troca de Parachoque dianteiro</t>
  </si>
  <si>
    <t>Mão de obra para troca de Parachoque traseiro</t>
  </si>
  <si>
    <t>Mão de obra para troca de Paralama dianteiro esquerdo</t>
  </si>
  <si>
    <t>Mão de obra para troca de Paralama dianteiro direito</t>
  </si>
  <si>
    <t>Mão de obra para troca de Porta dianteira esquerda</t>
  </si>
  <si>
    <t>Mão de obra para troca de Porta dianteira direita</t>
  </si>
  <si>
    <t>Mão de obra para troca de Porta traseira esquerda</t>
  </si>
  <si>
    <t>Mão de obra para troca de Porta traseira direita</t>
  </si>
  <si>
    <t>Mão de obra para troca de Capô</t>
  </si>
  <si>
    <t>Mão de obra para troca de Tampa traseira</t>
  </si>
  <si>
    <t>Mão de obra para troca de Lanterna esquerda</t>
  </si>
  <si>
    <t>Mão de obra para troca de Lanterna direita</t>
  </si>
  <si>
    <t>Mão de obra para troca de Farol esquerdo</t>
  </si>
  <si>
    <t>Mão de obra para troca de Farol direito</t>
  </si>
  <si>
    <t>Mão de obra para troca de Farol de neblina direito</t>
  </si>
  <si>
    <t>Mão de obra para troca de Farol de neblina esquerdo</t>
  </si>
  <si>
    <t>Mão de obra para troca de Retrovisor esquerdo</t>
  </si>
  <si>
    <t>Mão de obra para troca de Retrovisor direito</t>
  </si>
  <si>
    <t>Mão de obra para troca de repetidor de seta direito</t>
  </si>
  <si>
    <t>Mão de obra para troca de repetidor de seta esquerdo</t>
  </si>
  <si>
    <t>Troca Placa dianteira</t>
  </si>
  <si>
    <t>Troca Placa traseira</t>
  </si>
  <si>
    <t>Pintura retrovisor direito</t>
  </si>
  <si>
    <t>Pintura retrovisor esquerdo</t>
  </si>
  <si>
    <t>Reparo de peça plástica retrovisor direito</t>
  </si>
  <si>
    <t>Reparo de peça plástica retrovisor esquerdo</t>
  </si>
  <si>
    <t>Troca Jogo de calotas</t>
  </si>
  <si>
    <t>Troca Antena</t>
  </si>
  <si>
    <t>Serviço de Polimento Remoção de Adesivo</t>
  </si>
  <si>
    <t>Reparo roda de ferro dianteira esquerda amassada</t>
  </si>
  <si>
    <t>Reparo roda de ferro dianteira direita amassada</t>
  </si>
  <si>
    <t>Reparo roda de ferro traseira esquerda amassada</t>
  </si>
  <si>
    <t>Reparo roda de ferro traseira direita amassada</t>
  </si>
  <si>
    <t>TIPO DE SERVIÇOS</t>
  </si>
  <si>
    <t>DESCRIÇÃO PARA CARTA DE AVARIAS</t>
  </si>
  <si>
    <r>
      <t xml:space="preserve">LOCALIZA RENT A CAR S/A
</t>
    </r>
    <r>
      <rPr>
        <sz val="10"/>
        <color theme="0"/>
        <rFont val="Roobert"/>
      </rPr>
      <t>Av. Bernardo Vasconcelos, 377 - Cachoeirinha CEP: 31150-000 - Belo Horizonte - MG 
CNPJ: 16.670.085/0001-55   INSC. MUN.: 138.256/001-7</t>
    </r>
  </si>
  <si>
    <t xml:space="preserve">Observações: </t>
  </si>
  <si>
    <t>avaria 1</t>
  </si>
  <si>
    <t>avaria 2</t>
  </si>
  <si>
    <t>TITAN PNEUS DO BRASIL LTDA</t>
  </si>
  <si>
    <t>SAO0902/15</t>
  </si>
  <si>
    <t>SW4 DIAMOND 7L 2.8 16V TURBO DIE 4X4 4P C/AR - AUTOMÁTICO BLINDADO</t>
  </si>
  <si>
    <t>BRANCO PEROLIZADO COM TETO PRETO</t>
  </si>
  <si>
    <t>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</si>
</sst>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R$&quot;* #,##0.00_);_(&quot;R$&quot;* \(#,##0.00\);_(&quot;R$&quot;* &quot;-&quot;??_);_(@_)"/>
    <numFmt numFmtId="165" formatCode="&quot;R$&quot;#,##0.00"/>
  </numFmts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Roo"/>
    </font>
    <font>
      <sz val="12"/>
      <color theme="1"/>
      <name val="Roobert"/>
    </font>
    <font>
      <sz val="10"/>
      <color theme="0"/>
      <name val="Roobert"/>
    </font>
    <font>
      <b/>
      <sz val="16"/>
      <color theme="0"/>
      <name val="Roobert"/>
    </font>
    <font>
      <b/>
      <sz val="11"/>
      <color theme="0"/>
      <name val="Roobert"/>
    </font>
    <font>
      <b/>
      <sz val="12"/>
      <color theme="0"/>
      <name val="Roobert"/>
    </font>
    <font>
      <b/>
      <sz val="12"/>
      <color theme="1"/>
      <name val="Roobert"/>
    </font>
    <font>
      <b/>
      <sz val="12"/>
      <color theme="6"/>
      <name val="Roobert"/>
    </font>
    <font>
      <b/>
      <sz val="12"/>
      <name val="Roobert"/>
    </font>
    <font>
      <sz val="11"/>
      <color theme="1"/>
      <name val="Roobert meduim"/>
    </font>
    <font>
      <sz val="11"/>
      <color theme="1"/>
      <name val="roobert"/>
    </font>
    <font>
      <sz val="11"/>
      <color theme="0"/>
      <name val="roobert"/>
    </font>
    <font>
      <b/>
      <sz val="11"/>
      <color rgb="FF05662B"/>
      <name val="Roobert"/>
    </font>
    <font>
      <sz val="11"/>
      <name val="Roobert"/>
    </font>
    <font>
      <sz val="11"/>
      <color theme="0"/>
      <name val="Aptos Narrow"/>
      <family val="2"/>
      <scheme val="minor"/>
    </font>
    <font>
      <sz val="12"/>
      <color theme="0"/>
      <name val="Roobert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5662B"/>
        <bgColor indexed="64"/>
      </patternFill>
    </fill>
    <fill>
      <patternFill patternType="solid">
        <fgColor rgb="FFB5CE95"/>
        <bgColor indexed="64"/>
      </patternFill>
    </fill>
  </fills>
  <borders count="20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/>
      <top/>
      <bottom/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6"/>
      </left>
      <right/>
      <top style="medium">
        <color theme="6"/>
      </top>
      <bottom/>
      <diagonal/>
    </border>
    <border>
      <left/>
      <right style="medium">
        <color theme="6"/>
      </right>
      <top style="medium">
        <color theme="6"/>
      </top>
      <bottom/>
      <diagonal/>
    </border>
    <border>
      <left style="medium">
        <color theme="6"/>
      </left>
      <right/>
      <top/>
      <bottom/>
      <diagonal/>
    </border>
    <border>
      <left/>
      <right style="medium">
        <color theme="6"/>
      </right>
      <top/>
      <bottom/>
      <diagonal/>
    </border>
    <border>
      <left style="medium">
        <color theme="6"/>
      </left>
      <right/>
      <top/>
      <bottom style="medium">
        <color theme="6"/>
      </bottom>
      <diagonal/>
    </border>
    <border>
      <left/>
      <right style="medium">
        <color theme="6"/>
      </right>
      <top/>
      <bottom style="medium">
        <color theme="6"/>
      </bottom>
      <diagonal/>
    </border>
    <border>
      <left/>
      <right/>
      <top style="medium">
        <color theme="6"/>
      </top>
      <bottom/>
      <diagonal/>
    </border>
    <border>
      <left/>
      <right/>
      <top/>
      <bottom style="medium">
        <color theme="6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10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>
      <alignment vertical="center"/>
    </xf>
    <xf numFmtId="0" fontId="6" fillId="0" borderId="3" xfId="0" applyFont="1" applyBorder="1" applyAlignment="1">
      <alignment vertical="center"/>
    </xf>
    <xf numFmtId="0" fontId="6" fillId="0" borderId="8" xfId="0" applyFont="1" applyBorder="1" applyAlignment="1">
      <alignment vertical="center"/>
    </xf>
    <xf numFmtId="0" fontId="6" fillId="0" borderId="3" xfId="0" applyFont="1" applyBorder="1" applyAlignment="1" applyProtection="1">
      <alignment vertical="center"/>
      <protection locked="0"/>
    </xf>
    <xf numFmtId="0" fontId="6" fillId="0" borderId="0" xfId="0" applyFont="1" applyAlignment="1">
      <alignment vertical="center"/>
    </xf>
    <xf numFmtId="0" fontId="12" fillId="0" borderId="0" xfId="0" applyFont="1" applyAlignment="1">
      <alignment horizontal="center"/>
    </xf>
    <xf numFmtId="0" fontId="14" fillId="0" borderId="0" xfId="0" applyFont="1"/>
    <xf numFmtId="0" fontId="15" fillId="0" borderId="0" xfId="0" applyFont="1"/>
    <xf numFmtId="0" fontId="15" fillId="0" borderId="0" xfId="0" applyFont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9" xfId="0" applyFont="1" applyBorder="1" applyAlignment="1">
      <alignment vertical="center"/>
    </xf>
    <xf numFmtId="0" fontId="6" fillId="0" borderId="0" xfId="0" applyFont="1"/>
    <xf numFmtId="0" fontId="10" fillId="0" borderId="0" xfId="0" applyFont="1" applyAlignment="1">
      <alignment horizontal="center"/>
    </xf>
    <xf numFmtId="164" fontId="6" fillId="0" borderId="0" xfId="1" applyFont="1" applyFill="1" applyBorder="1" applyAlignment="1" applyProtection="1">
      <alignment horizontal="center" wrapText="1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164" fontId="11" fillId="0" borderId="0" xfId="1" applyFont="1" applyBorder="1" applyAlignment="1" applyProtection="1">
      <protection locked="0"/>
    </xf>
    <xf numFmtId="0" fontId="9" fillId="3" borderId="2" xfId="0" applyFont="1" applyFill="1" applyBorder="1" applyAlignment="1">
      <alignment vertical="center"/>
    </xf>
    <xf numFmtId="0" fontId="9" fillId="3" borderId="7" xfId="0" applyFont="1" applyFill="1" applyBorder="1" applyAlignment="1">
      <alignment vertical="center"/>
    </xf>
    <xf numFmtId="0" fontId="9" fillId="3" borderId="5" xfId="0" applyFont="1" applyFill="1" applyBorder="1" applyAlignment="1">
      <alignment vertical="center"/>
    </xf>
    <xf numFmtId="0" fontId="10" fillId="3" borderId="1" xfId="0" applyFont="1" applyFill="1" applyBorder="1" applyAlignment="1">
      <alignment horizontal="center" vertical="center"/>
    </xf>
    <xf numFmtId="164" fontId="10" fillId="3" borderId="1" xfId="1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6" fillId="0" borderId="2" xfId="0" applyFont="1" applyBorder="1" applyAlignment="1" applyProtection="1">
      <alignment vertical="center"/>
      <protection locked="0"/>
    </xf>
    <xf numFmtId="0" fontId="6" fillId="0" borderId="4" xfId="0" applyFont="1" applyBorder="1" applyAlignment="1" applyProtection="1">
      <alignment vertical="center"/>
      <protection locked="0"/>
    </xf>
    <xf numFmtId="0" fontId="6" fillId="0" borderId="5" xfId="0" applyFont="1" applyBorder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6" fillId="0" borderId="6" xfId="0" applyFont="1" applyBorder="1" applyAlignment="1" applyProtection="1">
      <alignment vertical="center"/>
      <protection locked="0"/>
    </xf>
    <xf numFmtId="0" fontId="6" fillId="0" borderId="7" xfId="0" applyFont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vertical="center"/>
      <protection locked="0"/>
    </xf>
    <xf numFmtId="0" fontId="6" fillId="0" borderId="9" xfId="0" applyFont="1" applyBorder="1" applyAlignment="1" applyProtection="1">
      <alignment vertical="center"/>
      <protection locked="0"/>
    </xf>
    <xf numFmtId="0" fontId="0" fillId="0" borderId="3" xfId="0" applyBorder="1" applyProtection="1">
      <protection locked="0"/>
    </xf>
    <xf numFmtId="0" fontId="0" fillId="0" borderId="0" xfId="0" applyAlignment="1" applyProtection="1">
      <alignment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164" fontId="6" fillId="0" borderId="1" xfId="1" applyFont="1" applyFill="1" applyBorder="1" applyAlignment="1" applyProtection="1">
      <alignment horizontal="center" wrapText="1"/>
      <protection locked="0"/>
    </xf>
    <xf numFmtId="164" fontId="11" fillId="0" borderId="1" xfId="1" applyFont="1" applyBorder="1" applyAlignment="1" applyProtection="1">
      <alignment horizontal="center" vertical="center"/>
      <protection locked="0"/>
    </xf>
    <xf numFmtId="165" fontId="11" fillId="0" borderId="11" xfId="1" applyNumberFormat="1" applyFont="1" applyFill="1" applyBorder="1" applyAlignment="1" applyProtection="1">
      <alignment horizontal="right" vertical="center"/>
    </xf>
    <xf numFmtId="0" fontId="6" fillId="0" borderId="10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164" fontId="0" fillId="0" borderId="0" xfId="1" applyFont="1" applyAlignment="1">
      <alignment horizontal="center" vertical="center"/>
    </xf>
    <xf numFmtId="164" fontId="0" fillId="0" borderId="0" xfId="1" applyFont="1"/>
    <xf numFmtId="0" fontId="15" fillId="0" borderId="0" xfId="0" applyFont="1" applyProtection="1">
      <protection locked="0"/>
    </xf>
    <xf numFmtId="0" fontId="15" fillId="0" borderId="0" xfId="0" applyFont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164" fontId="19" fillId="0" borderId="0" xfId="1" applyFont="1"/>
    <xf numFmtId="0" fontId="9" fillId="3" borderId="2" xfId="0" applyFont="1" applyFill="1" applyBorder="1" applyAlignment="1" applyProtection="1">
      <alignment horizontal="center" vertical="center"/>
      <protection locked="0"/>
    </xf>
    <xf numFmtId="165" fontId="9" fillId="3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8" xfId="0" applyBorder="1" applyProtection="1">
      <protection locked="0"/>
    </xf>
    <xf numFmtId="0" fontId="3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165" fontId="2" fillId="0" borderId="0" xfId="0" applyNumberFormat="1" applyFont="1" applyAlignment="1" applyProtection="1">
      <alignment vertical="center"/>
      <protection locked="0"/>
    </xf>
    <xf numFmtId="0" fontId="9" fillId="0" borderId="0" xfId="0" applyFont="1" applyAlignment="1" applyProtection="1">
      <alignment vertical="center"/>
      <protection locked="0"/>
    </xf>
    <xf numFmtId="165" fontId="2" fillId="0" borderId="0" xfId="0" applyNumberFormat="1" applyFont="1" applyAlignment="1" applyProtection="1">
      <alignment horizontal="center" vertical="center"/>
      <protection locked="0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/>
    <xf numFmtId="0" fontId="11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4" fillId="0" borderId="3" xfId="0" applyFont="1" applyBorder="1"/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8" xfId="0" applyFont="1" applyBorder="1"/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0" fontId="9" fillId="3" borderId="4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165" fontId="2" fillId="0" borderId="0" xfId="0" applyNumberFormat="1" applyFont="1" applyAlignment="1">
      <alignment vertical="center"/>
    </xf>
    <xf numFmtId="0" fontId="3" fillId="0" borderId="6" xfId="0" applyFont="1" applyBorder="1" applyAlignment="1">
      <alignment horizontal="center" vertical="center"/>
    </xf>
    <xf numFmtId="0" fontId="4" fillId="0" borderId="8" xfId="0" applyFont="1" applyBorder="1" applyAlignment="1">
      <alignment vertical="center"/>
    </xf>
    <xf numFmtId="165" fontId="2" fillId="0" borderId="8" xfId="0" applyNumberFormat="1" applyFont="1" applyBorder="1" applyAlignment="1">
      <alignment vertical="center"/>
    </xf>
    <xf numFmtId="0" fontId="20" fillId="0" borderId="8" xfId="0" applyFont="1" applyBorder="1" applyAlignment="1">
      <alignment vertical="center"/>
    </xf>
    <xf numFmtId="165" fontId="10" fillId="3" borderId="2" xfId="0" applyNumberFormat="1" applyFont="1" applyFill="1" applyBorder="1" applyAlignment="1">
      <alignment horizontal="center" vertical="center"/>
    </xf>
    <xf numFmtId="165" fontId="10" fillId="3" borderId="4" xfId="0" applyNumberFormat="1" applyFont="1" applyFill="1" applyBorder="1" applyAlignment="1">
      <alignment horizontal="center" vertical="center"/>
    </xf>
    <xf numFmtId="0" fontId="16" fillId="2" borderId="12" xfId="0" applyFont="1" applyFill="1" applyBorder="1" applyAlignment="1">
      <alignment horizontal="center"/>
    </xf>
    <xf numFmtId="0" fontId="16" fillId="2" borderId="14" xfId="0" applyFont="1" applyFill="1" applyBorder="1" applyAlignment="1">
      <alignment horizontal="center"/>
    </xf>
    <xf numFmtId="0" fontId="16" fillId="2" borderId="16" xfId="0" applyFont="1" applyFill="1" applyBorder="1" applyAlignment="1">
      <alignment horizontal="center"/>
    </xf>
    <xf numFmtId="0" fontId="8" fillId="3" borderId="12" xfId="0" applyFont="1" applyFill="1" applyBorder="1" applyAlignment="1">
      <alignment horizontal="center" vertical="center" wrapText="1"/>
    </xf>
    <xf numFmtId="0" fontId="8" fillId="3" borderId="18" xfId="0" applyFont="1" applyFill="1" applyBorder="1" applyAlignment="1">
      <alignment horizontal="center" vertical="center"/>
    </xf>
    <xf numFmtId="0" fontId="8" fillId="3" borderId="13" xfId="0" applyFont="1" applyFill="1" applyBorder="1" applyAlignment="1">
      <alignment horizontal="center" vertical="center"/>
    </xf>
    <xf numFmtId="0" fontId="8" fillId="3" borderId="14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3" borderId="15" xfId="0" applyFont="1" applyFill="1" applyBorder="1" applyAlignment="1">
      <alignment horizontal="center" vertical="center"/>
    </xf>
    <xf numFmtId="0" fontId="8" fillId="3" borderId="16" xfId="0" applyFont="1" applyFill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 vertical="center"/>
    </xf>
    <xf numFmtId="0" fontId="13" fillId="0" borderId="0" xfId="0" applyFont="1" applyAlignment="1">
      <alignment horizontal="center"/>
    </xf>
    <xf numFmtId="165" fontId="11" fillId="0" borderId="5" xfId="0" applyNumberFormat="1" applyFont="1" applyBorder="1" applyAlignment="1">
      <alignment horizontal="center" vertical="center"/>
    </xf>
    <xf numFmtId="165" fontId="11" fillId="0" borderId="6" xfId="0" applyNumberFormat="1" applyFont="1" applyBorder="1" applyAlignment="1">
      <alignment horizontal="center" vertical="center"/>
    </xf>
    <xf numFmtId="165" fontId="11" fillId="0" borderId="7" xfId="0" applyNumberFormat="1" applyFont="1" applyBorder="1" applyAlignment="1">
      <alignment horizontal="center" vertical="center"/>
    </xf>
    <xf numFmtId="165" fontId="11" fillId="0" borderId="9" xfId="0" applyNumberFormat="1" applyFont="1" applyBorder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17" fillId="4" borderId="0" xfId="0" applyFont="1" applyFill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9" fillId="3" borderId="2" xfId="0" applyFont="1" applyFill="1" applyBorder="1" applyAlignment="1" applyProtection="1">
      <alignment horizontal="left" vertical="center"/>
      <protection locked="0"/>
    </xf>
    <xf numFmtId="0" fontId="9" fillId="3" borderId="3" xfId="0" applyFont="1" applyFill="1" applyBorder="1" applyAlignment="1" applyProtection="1">
      <alignment horizontal="left" vertical="center"/>
      <protection locked="0"/>
    </xf>
    <xf numFmtId="0" fontId="9" fillId="3" borderId="4" xfId="0" applyFont="1" applyFill="1" applyBorder="1" applyAlignment="1" applyProtection="1">
      <alignment horizontal="left" vertical="center"/>
      <protection locked="0"/>
    </xf>
    <xf numFmtId="164" fontId="9" fillId="3" borderId="2" xfId="0" applyNumberFormat="1" applyFont="1" applyFill="1" applyBorder="1" applyAlignment="1" applyProtection="1">
      <alignment horizontal="left" vertical="center"/>
      <protection locked="0"/>
    </xf>
    <xf numFmtId="165" fontId="3" fillId="0" borderId="3" xfId="0" applyNumberFormat="1" applyFont="1" applyBorder="1" applyAlignment="1">
      <alignment horizontal="center" vertical="center"/>
    </xf>
    <xf numFmtId="165" fontId="2" fillId="0" borderId="6" xfId="0" applyNumberFormat="1" applyFont="1" applyBorder="1" applyAlignment="1">
      <alignment horizontal="center" vertical="center"/>
    </xf>
    <xf numFmtId="165" fontId="2" fillId="0" borderId="9" xfId="0" applyNumberFormat="1" applyFont="1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7">
    <dxf>
      <fill>
        <patternFill>
          <bgColor rgb="FFFF0000"/>
        </patternFill>
      </fill>
    </dxf>
    <dxf>
      <fill>
        <patternFill>
          <bgColor rgb="FFFF0000"/>
        </patternFill>
      </fill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B5CE95"/>
      <color rgb="FF7DDE20"/>
      <color rgb="FFD9E5CD"/>
      <color rgb="FF05662B"/>
      <color rgb="FFDCF0C6"/>
      <color rgb="FFCCE9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</xdr:row>
      <xdr:rowOff>152400</xdr:rowOff>
    </xdr:from>
    <xdr:to>
      <xdr:col>1</xdr:col>
      <xdr:colOff>1313655</xdr:colOff>
      <xdr:row>4</xdr:row>
      <xdr:rowOff>66675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0AFC3D2-8659-4E0A-9409-710D094B65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1458" y="469900"/>
          <a:ext cx="1266030" cy="5461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9</xdr:col>
      <xdr:colOff>437445</xdr:colOff>
      <xdr:row>21</xdr:row>
      <xdr:rowOff>170196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589EF40-D7A0-076C-AD0A-AFD823B08C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5898444" cy="4022529"/>
        </a:xfrm>
        <a:prstGeom prst="rect">
          <a:avLst/>
        </a:prstGeom>
      </xdr:spPr>
    </xdr:pic>
    <xdr:clientData/>
  </xdr:twoCellAnchor>
  <xdr:twoCellAnchor editAs="oneCell">
    <xdr:from>
      <xdr:col>0</xdr:col>
      <xdr:colOff>105834</xdr:colOff>
      <xdr:row>22</xdr:row>
      <xdr:rowOff>44711</xdr:rowOff>
    </xdr:from>
    <xdr:to>
      <xdr:col>9</xdr:col>
      <xdr:colOff>437445</xdr:colOff>
      <xdr:row>43</xdr:row>
      <xdr:rowOff>161130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9AD35EAD-5E8E-2B84-5FE4-4715282C9E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834" y="4080489"/>
          <a:ext cx="5792611" cy="3968752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127000</xdr:colOff>
      <xdr:row>44</xdr:row>
      <xdr:rowOff>98778</xdr:rowOff>
    </xdr:from>
    <xdr:to>
      <xdr:col>9</xdr:col>
      <xdr:colOff>472853</xdr:colOff>
      <xdr:row>66</xdr:row>
      <xdr:rowOff>85651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57371343-92E2-A158-C9A6-7AA23009FF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7000" y="8170334"/>
          <a:ext cx="5806853" cy="40226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localiza.sharepoint.com/sites/AvariasdeDevoluo508-Gerencial/Documentos%20Compartilhados/Gerencial/02.%20Gerencial/06.%20LPU/Lista%20de%20Pre&#231;os%20&#218;nicas%20-%2012.24...xlsx" TargetMode="External"/><Relationship Id="rId1" Type="http://schemas.openxmlformats.org/officeDocument/2006/relationships/externalLinkPath" Target="https://localiza.sharepoint.com/sites/AvariasdeDevoluo508-Gerencial/Documentos%20Compartilhados/Gerencial/02.%20Gerencial/06.%20LPU/Lista%20de%20Pre&#231;os%20&#218;nicas%20-%2012.24..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PU"/>
    </sheetNames>
    <sheetDataSet>
      <sheetData sheetId="0">
        <row r="1">
          <cell r="C1" t="str">
            <v>DESCRIÇÃO PARA CARTA DE AVARIAS</v>
          </cell>
          <cell r="D1" t="str">
            <v>VALOR</v>
          </cell>
        </row>
        <row r="2">
          <cell r="C2" t="str">
            <v>Troca bateria automotiva</v>
          </cell>
          <cell r="D2" t="str">
            <v>SOB CONSULTA</v>
          </cell>
        </row>
        <row r="3">
          <cell r="C3" t="str">
            <v>Reposição chave principal</v>
          </cell>
          <cell r="D3" t="str">
            <v>SOB CONSULTA</v>
          </cell>
        </row>
        <row r="4">
          <cell r="C4" t="str">
            <v>Reposição chave reserva</v>
          </cell>
          <cell r="D4" t="str">
            <v>SOB CONSULTA</v>
          </cell>
        </row>
        <row r="5">
          <cell r="C5" t="str">
            <v>Reposição de macaco automotivo</v>
          </cell>
          <cell r="D5" t="str">
            <v>SOB CONSULTA</v>
          </cell>
        </row>
        <row r="6">
          <cell r="C6" t="str">
            <v>Reposição chave de roda</v>
          </cell>
          <cell r="D6" t="str">
            <v>R$80,00</v>
          </cell>
        </row>
        <row r="7">
          <cell r="C7" t="str">
            <v>Mão de obra troca de teto com solda</v>
          </cell>
          <cell r="D7" t="str">
            <v>R$750,00</v>
          </cell>
        </row>
        <row r="8">
          <cell r="C8" t="str">
            <v>Mão de obra troca lateral esquerda com solda</v>
          </cell>
          <cell r="D8" t="str">
            <v>R$750,00</v>
          </cell>
        </row>
        <row r="9">
          <cell r="C9" t="str">
            <v>Mão de obra troca lateral direita com solda</v>
          </cell>
          <cell r="D9" t="str">
            <v>R$750,00</v>
          </cell>
        </row>
        <row r="10">
          <cell r="C10" t="str">
            <v>Mão de obra troca coluna dianteira esquerda com solda</v>
          </cell>
          <cell r="D10" t="str">
            <v>R$750,00</v>
          </cell>
        </row>
        <row r="11">
          <cell r="C11" t="str">
            <v>Mão de obra troca coluna dianteira direita com solda</v>
          </cell>
          <cell r="D11" t="str">
            <v>R$750,00</v>
          </cell>
        </row>
        <row r="12">
          <cell r="C12" t="str">
            <v>Mão de obra troca coluna traseira esquerda com solda</v>
          </cell>
          <cell r="D12" t="str">
            <v>R$750,00</v>
          </cell>
        </row>
        <row r="13">
          <cell r="C13" t="str">
            <v>Mão de obra troca coluna traseira direita com solda</v>
          </cell>
          <cell r="D13" t="str">
            <v>R$750,00</v>
          </cell>
        </row>
        <row r="14">
          <cell r="C14" t="str">
            <v>Mão de obra troca caixa de ar lado esquerdo com solda</v>
          </cell>
          <cell r="D14" t="str">
            <v>R$750,00</v>
          </cell>
        </row>
        <row r="15">
          <cell r="C15" t="str">
            <v>Mão de obra troca caixa de ar lado direito com solda</v>
          </cell>
          <cell r="D15" t="str">
            <v>R$750,00</v>
          </cell>
        </row>
        <row r="16">
          <cell r="C16" t="str">
            <v>Reposição acendedor veicular</v>
          </cell>
          <cell r="D16" t="str">
            <v>R$60,00</v>
          </cell>
        </row>
        <row r="17">
          <cell r="C17" t="str">
            <v>Reposição triângulo de segurança</v>
          </cell>
          <cell r="D17" t="str">
            <v>R$50,00</v>
          </cell>
        </row>
        <row r="18">
          <cell r="C18" t="str">
            <v>Serviço retirada de porta-escadas, vedação e pintura do teto</v>
          </cell>
          <cell r="D18" t="str">
            <v>R$470,00</v>
          </cell>
        </row>
        <row r="19">
          <cell r="C19" t="str">
            <v>Recuperação e pintura capô</v>
          </cell>
          <cell r="D19" t="str">
            <v>R$420,00</v>
          </cell>
        </row>
        <row r="20">
          <cell r="C20" t="str">
            <v>Recuperação e pintura teto</v>
          </cell>
          <cell r="D20" t="str">
            <v>R$420,00</v>
          </cell>
        </row>
        <row r="21">
          <cell r="C21" t="str">
            <v>Recuperação e pintura porta dianteira esquerda</v>
          </cell>
          <cell r="D21" t="str">
            <v>R$420,00</v>
          </cell>
        </row>
        <row r="22">
          <cell r="C22" t="str">
            <v>Recuperação e pintura porta dianteira direita</v>
          </cell>
          <cell r="D22" t="str">
            <v>R$420,00</v>
          </cell>
        </row>
        <row r="23">
          <cell r="C23" t="str">
            <v>Recuperação e pintura coluna dianteira direita</v>
          </cell>
          <cell r="D23" t="str">
            <v>R$420,00</v>
          </cell>
        </row>
        <row r="24">
          <cell r="C24" t="str">
            <v>Recuperação e pintura coluna dianteira esquerda</v>
          </cell>
          <cell r="D24" t="str">
            <v>R$420,00</v>
          </cell>
        </row>
        <row r="25">
          <cell r="C25" t="str">
            <v>Recuperação e pintura tampa traseira</v>
          </cell>
          <cell r="D25" t="str">
            <v>R$420,00</v>
          </cell>
        </row>
        <row r="26">
          <cell r="C26" t="str">
            <v>Recuperação e pintura porta traseira esquerda</v>
          </cell>
          <cell r="D26" t="str">
            <v>R$420,00</v>
          </cell>
        </row>
        <row r="27">
          <cell r="C27" t="str">
            <v>Recuperação e pintura porta traseira direita</v>
          </cell>
          <cell r="D27" t="str">
            <v>R$420,00</v>
          </cell>
        </row>
        <row r="28">
          <cell r="C28" t="str">
            <v>Recuperação e pintura tampa do porta-malas</v>
          </cell>
          <cell r="D28" t="str">
            <v>R$420,00</v>
          </cell>
        </row>
        <row r="29">
          <cell r="C29" t="str">
            <v>Recuperação e pintura porta-malas interno</v>
          </cell>
          <cell r="D29" t="str">
            <v>R$420,00</v>
          </cell>
        </row>
        <row r="30">
          <cell r="C30" t="str">
            <v>Recuperação e pintura lateral esquerda</v>
          </cell>
          <cell r="D30" t="str">
            <v>R$420,00</v>
          </cell>
        </row>
        <row r="31">
          <cell r="C31" t="str">
            <v>Recuperação e pintura lateral direita</v>
          </cell>
          <cell r="D31" t="str">
            <v>R$420,00</v>
          </cell>
        </row>
        <row r="32">
          <cell r="C32" t="str">
            <v>Recuperação e pintura para-choque dianteiro</v>
          </cell>
          <cell r="D32" t="str">
            <v>R$400,00</v>
          </cell>
        </row>
        <row r="33">
          <cell r="C33" t="str">
            <v>Recuperação e pintura para-choque traseiro</v>
          </cell>
          <cell r="D33" t="str">
            <v>R$400,00</v>
          </cell>
        </row>
        <row r="34">
          <cell r="C34" t="str">
            <v>Recuperação e pintura para-lama dianteiro esquerdo</v>
          </cell>
          <cell r="D34" t="str">
            <v>R$370,00</v>
          </cell>
        </row>
        <row r="35">
          <cell r="C35" t="str">
            <v>Recuperação e pintura para-lama dianteiro direito</v>
          </cell>
          <cell r="D35" t="str">
            <v>R$370,00</v>
          </cell>
        </row>
        <row r="36">
          <cell r="C36" t="str">
            <v>Recuperação e pintura para-lama traseiro esquerdo</v>
          </cell>
          <cell r="D36" t="str">
            <v>R$370,00</v>
          </cell>
        </row>
        <row r="37">
          <cell r="C37" t="str">
            <v>Recuperação e pintura para-lama traseiro direito</v>
          </cell>
          <cell r="D37" t="str">
            <v>R$370,00</v>
          </cell>
        </row>
        <row r="38">
          <cell r="C38" t="str">
            <v>Recuperação e pintura da caixa de ar do lado esquerdo</v>
          </cell>
          <cell r="D38" t="str">
            <v>R$370,00</v>
          </cell>
        </row>
        <row r="39">
          <cell r="C39" t="str">
            <v>Recuperação e pintura da caixa de ar do lado direito</v>
          </cell>
          <cell r="D39" t="str">
            <v>R$370,00</v>
          </cell>
        </row>
        <row r="40">
          <cell r="C40" t="str">
            <v>Serviço de  polimento</v>
          </cell>
          <cell r="D40" t="str">
            <v>R$350,00</v>
          </cell>
        </row>
        <row r="41">
          <cell r="C41" t="str">
            <v>Serviço de polimento</v>
          </cell>
          <cell r="D41">
            <v>250</v>
          </cell>
        </row>
        <row r="42">
          <cell r="C42" t="str">
            <v>Substituição roda de ferro dianteira esquerda, aro 13</v>
          </cell>
          <cell r="D42" t="str">
            <v>R$350,00</v>
          </cell>
        </row>
        <row r="43">
          <cell r="C43" t="str">
            <v>Substituição roda de ferro dianteira direita, aro 13</v>
          </cell>
          <cell r="D43" t="str">
            <v>R$350,00</v>
          </cell>
        </row>
        <row r="44">
          <cell r="C44" t="str">
            <v>Substituição roda de ferro traseira esquerda, aro 13</v>
          </cell>
          <cell r="D44" t="str">
            <v>R$350,00</v>
          </cell>
        </row>
        <row r="45">
          <cell r="C45" t="str">
            <v>Substituição roda de ferro traseira direita, aro 13</v>
          </cell>
          <cell r="D45" t="str">
            <v>R$350,00</v>
          </cell>
        </row>
        <row r="46">
          <cell r="C46" t="str">
            <v>Substituição roda de ferro dianteira esquerda, aro 14</v>
          </cell>
          <cell r="D46" t="str">
            <v>R$350,00</v>
          </cell>
        </row>
        <row r="47">
          <cell r="C47" t="str">
            <v>Substituição roda de ferro dianteira direita, aro 14</v>
          </cell>
          <cell r="D47" t="str">
            <v>R$350,00</v>
          </cell>
        </row>
        <row r="48">
          <cell r="C48" t="str">
            <v>Substituição roda de ferro traseira esquerda, aro 14</v>
          </cell>
          <cell r="D48" t="str">
            <v>R$350,00</v>
          </cell>
        </row>
        <row r="49">
          <cell r="C49" t="str">
            <v>Substituição roda de ferro traseira direita, aro 14</v>
          </cell>
          <cell r="D49" t="str">
            <v>R$350,00</v>
          </cell>
        </row>
        <row r="50">
          <cell r="C50" t="str">
            <v>Substituição roda de ferro dianteira esquerda, aro 15</v>
          </cell>
          <cell r="D50" t="str">
            <v>R$350,00</v>
          </cell>
        </row>
        <row r="51">
          <cell r="C51" t="str">
            <v>Substituição roda de ferro dianteira direita, aro 15</v>
          </cell>
          <cell r="D51" t="str">
            <v>R$350,00</v>
          </cell>
        </row>
        <row r="52">
          <cell r="C52" t="str">
            <v>Substituição roda de ferro traseira esquerda, aro 15</v>
          </cell>
          <cell r="D52" t="str">
            <v>R$350,00</v>
          </cell>
        </row>
        <row r="53">
          <cell r="C53" t="str">
            <v>Substituição roda de ferro traseira direita, aro 15</v>
          </cell>
          <cell r="D53" t="str">
            <v>R$350,00</v>
          </cell>
        </row>
        <row r="54">
          <cell r="C54" t="str">
            <v>Pintura porta dianteira direita</v>
          </cell>
          <cell r="D54" t="str">
            <v>R$340,00</v>
          </cell>
        </row>
        <row r="55">
          <cell r="C55" t="str">
            <v>Pintura porta traseira direita</v>
          </cell>
          <cell r="D55" t="str">
            <v>R$340,00</v>
          </cell>
        </row>
        <row r="56">
          <cell r="C56" t="str">
            <v>Pintura tampa traseira</v>
          </cell>
          <cell r="D56" t="str">
            <v>R$340,00</v>
          </cell>
        </row>
        <row r="57">
          <cell r="C57" t="str">
            <v xml:space="preserve">Pintura coluna esquerda </v>
          </cell>
          <cell r="D57" t="str">
            <v>R$340,00</v>
          </cell>
        </row>
        <row r="58">
          <cell r="C58" t="str">
            <v xml:space="preserve">Pintura coluna direita </v>
          </cell>
          <cell r="D58" t="str">
            <v>R$340,00</v>
          </cell>
        </row>
        <row r="59">
          <cell r="C59" t="str">
            <v>Pintura porta dianteira esquerda</v>
          </cell>
          <cell r="D59" t="str">
            <v>R$340,00</v>
          </cell>
        </row>
        <row r="60">
          <cell r="C60" t="str">
            <v>Pintura porta traseira esquerda</v>
          </cell>
          <cell r="D60" t="str">
            <v>R$340,00</v>
          </cell>
        </row>
        <row r="61">
          <cell r="C61" t="str">
            <v>Pintura do capô</v>
          </cell>
          <cell r="D61" t="str">
            <v>R$340,00</v>
          </cell>
        </row>
        <row r="62">
          <cell r="C62" t="str">
            <v>Pintura do teto</v>
          </cell>
          <cell r="D62" t="str">
            <v>R$340,00</v>
          </cell>
        </row>
        <row r="63">
          <cell r="C63" t="str">
            <v>Pintura tampa do porta-malas</v>
          </cell>
          <cell r="D63" t="str">
            <v>R$340,00</v>
          </cell>
        </row>
        <row r="64">
          <cell r="C64" t="str">
            <v>Pintura do porta-malas interno</v>
          </cell>
          <cell r="D64" t="str">
            <v>R$340,00</v>
          </cell>
        </row>
        <row r="65">
          <cell r="C65" t="str">
            <v xml:space="preserve">Pintura lateral esquerda </v>
          </cell>
          <cell r="D65" t="str">
            <v>R$340,00</v>
          </cell>
        </row>
        <row r="66">
          <cell r="C66" t="str">
            <v>Pintura lateral direita</v>
          </cell>
          <cell r="D66" t="str">
            <v>R$340,00</v>
          </cell>
        </row>
        <row r="67">
          <cell r="C67" t="str">
            <v>Reparo banco motorista rasgado ou furado</v>
          </cell>
          <cell r="D67" t="str">
            <v>R$340,00</v>
          </cell>
        </row>
        <row r="68">
          <cell r="C68" t="str">
            <v>Reparo banco passageiro rasgado ou furado</v>
          </cell>
          <cell r="D68" t="str">
            <v>R$340,00</v>
          </cell>
        </row>
        <row r="69">
          <cell r="C69" t="str">
            <v>Reparo banco traseiro rasgado ou furado</v>
          </cell>
          <cell r="D69" t="str">
            <v>R$340,00</v>
          </cell>
        </row>
        <row r="70">
          <cell r="C70" t="str">
            <v>Reparo forro teto rasgado ou furado</v>
          </cell>
          <cell r="D70" t="str">
            <v>R$340,00</v>
          </cell>
        </row>
        <row r="71">
          <cell r="C71" t="str">
            <v>Pintura para-choque dianteiro</v>
          </cell>
          <cell r="D71" t="str">
            <v>R$320,00</v>
          </cell>
        </row>
        <row r="72">
          <cell r="C72" t="str">
            <v>Pintura para-choque traseiro</v>
          </cell>
          <cell r="D72" t="str">
            <v>R$320,00</v>
          </cell>
        </row>
        <row r="73">
          <cell r="C73" t="str">
            <v>Pintura para-choque (troca de peça)</v>
          </cell>
          <cell r="D73" t="str">
            <v>R$320,00</v>
          </cell>
        </row>
        <row r="74">
          <cell r="C74" t="str">
            <v>Pintura para-lama dianteiro esquerdo</v>
          </cell>
          <cell r="D74" t="str">
            <v>R$280,00</v>
          </cell>
        </row>
        <row r="75">
          <cell r="C75" t="str">
            <v>Pintura para-lama dianteiro direito</v>
          </cell>
          <cell r="D75" t="str">
            <v>R$280,00</v>
          </cell>
        </row>
        <row r="76">
          <cell r="C76" t="str">
            <v>Pintura para-lama traseiro esquerdo</v>
          </cell>
          <cell r="D76" t="str">
            <v>R$280,00</v>
          </cell>
        </row>
        <row r="77">
          <cell r="C77" t="str">
            <v>Pintura para-lama traseiro direito</v>
          </cell>
          <cell r="D77" t="str">
            <v>R$280,00</v>
          </cell>
        </row>
        <row r="78">
          <cell r="C78" t="str">
            <v>Pintura caixa de ar esquerda</v>
          </cell>
          <cell r="D78" t="str">
            <v>R$280,00</v>
          </cell>
        </row>
        <row r="79">
          <cell r="C79" t="str">
            <v>Pintura caixa de ar direita</v>
          </cell>
          <cell r="D79" t="str">
            <v>R$280,00</v>
          </cell>
        </row>
        <row r="80">
          <cell r="C80" t="str">
            <v xml:space="preserve">Reparo peça plástica do para-choque dianteiro </v>
          </cell>
          <cell r="D80" t="str">
            <v>R$270,00</v>
          </cell>
        </row>
        <row r="81">
          <cell r="C81" t="str">
            <v>Reparo peça plástica do para-choque traseiro</v>
          </cell>
          <cell r="D81" t="str">
            <v>R$270,00</v>
          </cell>
        </row>
        <row r="82">
          <cell r="C82" t="str">
            <v>Reparo para-brisa dianteiro</v>
          </cell>
          <cell r="D82" t="str">
            <v>R$260,00</v>
          </cell>
        </row>
        <row r="83">
          <cell r="C83" t="str">
            <v>Reparo para-brisa traseiro</v>
          </cell>
          <cell r="D83" t="str">
            <v>R$260,00</v>
          </cell>
        </row>
        <row r="84">
          <cell r="C84" t="str">
            <v>Serviço higienização Interna</v>
          </cell>
          <cell r="D84" t="str">
            <v>R$250,00</v>
          </cell>
        </row>
        <row r="85">
          <cell r="C85" t="str">
            <v>Serviço higienização Interna  (Sujeira Severa)</v>
          </cell>
          <cell r="D85">
            <v>400</v>
          </cell>
        </row>
        <row r="86">
          <cell r="C86" t="str">
            <v>Martelinho de ouro – Capô</v>
          </cell>
          <cell r="D86" t="str">
            <v>R$230,00</v>
          </cell>
        </row>
        <row r="87">
          <cell r="C87" t="str">
            <v>Martelinho de ouro – Teto</v>
          </cell>
          <cell r="D87" t="str">
            <v>R$230,00</v>
          </cell>
        </row>
        <row r="88">
          <cell r="C88" t="str">
            <v>Martelinho de ouro – Porta dianteira esquerda</v>
          </cell>
          <cell r="D88" t="str">
            <v>R$230,00</v>
          </cell>
        </row>
        <row r="89">
          <cell r="C89" t="str">
            <v>Martelinho de ouro – Porta dianteira direita</v>
          </cell>
          <cell r="D89" t="str">
            <v>R$230,00</v>
          </cell>
        </row>
        <row r="90">
          <cell r="C90" t="str">
            <v>Martelinho de ouro – Porta traseira esquerda</v>
          </cell>
          <cell r="D90" t="str">
            <v>R$230,00</v>
          </cell>
        </row>
        <row r="91">
          <cell r="C91" t="str">
            <v>Martelinho de ouro – Porta traseira direita</v>
          </cell>
          <cell r="D91" t="str">
            <v>R$230,00</v>
          </cell>
        </row>
        <row r="92">
          <cell r="C92" t="str">
            <v>Martelinho de ouro – Para-lama dianteiro esquerdo</v>
          </cell>
          <cell r="D92" t="str">
            <v>R$230,00</v>
          </cell>
        </row>
        <row r="93">
          <cell r="C93" t="str">
            <v>Martelinho de ouro – Para-lama dianteiro direito</v>
          </cell>
          <cell r="D93" t="str">
            <v>R$230,00</v>
          </cell>
        </row>
        <row r="94">
          <cell r="C94" t="str">
            <v>Martelinho de ouro – Para-lama traseiro esquerdo</v>
          </cell>
          <cell r="D94" t="str">
            <v>R$230,00</v>
          </cell>
        </row>
        <row r="95">
          <cell r="C95" t="str">
            <v>Martelinho de ouro – Para-lama traseiro direito</v>
          </cell>
          <cell r="D95" t="str">
            <v>R$230,00</v>
          </cell>
        </row>
        <row r="96">
          <cell r="C96" t="str">
            <v>Martelinho de ouro – Tampa do porta-malas</v>
          </cell>
          <cell r="D96" t="str">
            <v>R$230,00</v>
          </cell>
        </row>
        <row r="97">
          <cell r="C97" t="str">
            <v>Martelinho de ouro – Coluna central esquerda</v>
          </cell>
          <cell r="D97" t="str">
            <v>R$230,00</v>
          </cell>
        </row>
        <row r="98">
          <cell r="C98" t="str">
            <v>Martelinho de ouro – Coluna central direita</v>
          </cell>
          <cell r="D98" t="str">
            <v>R$230,00</v>
          </cell>
        </row>
        <row r="99">
          <cell r="C99" t="str">
            <v>Martelinho de ouro – Coluna dianteira esquerda</v>
          </cell>
          <cell r="D99" t="str">
            <v>R$230,00</v>
          </cell>
        </row>
        <row r="100">
          <cell r="C100" t="str">
            <v>Martelinho de ouro – Lateral esquerda</v>
          </cell>
          <cell r="D100" t="str">
            <v>R$230,00</v>
          </cell>
        </row>
        <row r="101">
          <cell r="C101" t="str">
            <v>Martelinho de ouro – Lateral esquerda</v>
          </cell>
          <cell r="D101" t="str">
            <v>R$230,00</v>
          </cell>
        </row>
        <row r="102">
          <cell r="C102" t="str">
            <v>Martelinho de ouro – Coluna dianteira direita</v>
          </cell>
          <cell r="D102" t="str">
            <v>R$230,00</v>
          </cell>
        </row>
        <row r="103">
          <cell r="C103" t="str">
            <v>Martelinho de ouro – Coluna traseira esquerda</v>
          </cell>
          <cell r="D103" t="str">
            <v>R$230,00</v>
          </cell>
        </row>
        <row r="104">
          <cell r="C104" t="str">
            <v>Martelinho de ouro – Coluna traseira direita</v>
          </cell>
          <cell r="D104" t="str">
            <v>R$230,00</v>
          </cell>
        </row>
        <row r="105">
          <cell r="C105" t="str">
            <v>Reparo roda liga leve dianteira direita</v>
          </cell>
          <cell r="D105" t="str">
            <v>R$230,00</v>
          </cell>
        </row>
        <row r="106">
          <cell r="C106" t="str">
            <v>Reparo Roda Liga Leve dianteira esquerda</v>
          </cell>
          <cell r="D106" t="str">
            <v>R$230,00</v>
          </cell>
        </row>
        <row r="107">
          <cell r="C107" t="str">
            <v>Reparo Roda Liga Leve traseira direita</v>
          </cell>
          <cell r="D107" t="str">
            <v>R$230,00</v>
          </cell>
        </row>
        <row r="108">
          <cell r="C108" t="str">
            <v>Reparo roda liga leve traseira esquerda</v>
          </cell>
          <cell r="D108" t="str">
            <v>R$230,00</v>
          </cell>
        </row>
        <row r="109">
          <cell r="C109" t="str">
            <v>Reparo moldura plástica para-lama dianteiro esquerdo</v>
          </cell>
          <cell r="D109" t="str">
            <v>R$220,00</v>
          </cell>
        </row>
        <row r="110">
          <cell r="C110" t="str">
            <v>Reparo moldura plástica para-lama dianteiro direito</v>
          </cell>
          <cell r="D110" t="str">
            <v>R$220,00</v>
          </cell>
        </row>
        <row r="111">
          <cell r="C111" t="str">
            <v>Reparo moldura plástica para-lama traseiro esquerdo</v>
          </cell>
          <cell r="D111" t="str">
            <v>R$220,00</v>
          </cell>
        </row>
        <row r="112">
          <cell r="C112" t="str">
            <v>Reparo moldura plástica para-lama traseiro direito</v>
          </cell>
          <cell r="D112" t="str">
            <v>R$220,00</v>
          </cell>
        </row>
        <row r="113">
          <cell r="C113" t="str">
            <v>Reparo moldura plástica da tampa traseira</v>
          </cell>
          <cell r="D113" t="str">
            <v>R$220,00</v>
          </cell>
        </row>
        <row r="114">
          <cell r="C114" t="str">
            <v>Reparo moldura plástica do para-choque dianteiro esquerdo</v>
          </cell>
          <cell r="D114" t="str">
            <v>R$220,00</v>
          </cell>
        </row>
        <row r="115">
          <cell r="C115" t="str">
            <v>Reparo moldura plástica do para-choque dianteiro direito</v>
          </cell>
          <cell r="D115" t="str">
            <v>R$220,00</v>
          </cell>
        </row>
        <row r="116">
          <cell r="C116" t="str">
            <v>Reparo moldura plástica do para-choque traseiro esquerdo</v>
          </cell>
          <cell r="D116" t="str">
            <v>R$220,00</v>
          </cell>
        </row>
        <row r="117">
          <cell r="C117" t="str">
            <v>Reparo moldura plástica de tampa traseira</v>
          </cell>
          <cell r="D117" t="str">
            <v>R$220,00</v>
          </cell>
        </row>
        <row r="118">
          <cell r="C118" t="str">
            <v>Reparo moldura plástica do para-choque traseiro direito</v>
          </cell>
          <cell r="D118" t="str">
            <v>R$220,00</v>
          </cell>
        </row>
        <row r="119">
          <cell r="C119" t="str">
            <v>Reposição de macaco automotivo</v>
          </cell>
          <cell r="D119" t="str">
            <v>R$180,00</v>
          </cell>
        </row>
        <row r="120">
          <cell r="C120" t="str">
            <v>Mão de obra troca do para-brisa</v>
          </cell>
          <cell r="D120" t="str">
            <v>R$180,00</v>
          </cell>
        </row>
        <row r="121">
          <cell r="C121" t="str">
            <v>Mão de obra substituição vidro lateral traseiro direito</v>
          </cell>
          <cell r="D121" t="str">
            <v>R$180,00</v>
          </cell>
        </row>
        <row r="122">
          <cell r="C122" t="str">
            <v>Mão de obra substituição  vidro lateral traseiro esquerdo</v>
          </cell>
          <cell r="D122" t="str">
            <v>R$180,00</v>
          </cell>
        </row>
        <row r="123">
          <cell r="C123" t="str">
            <v>Mão de obra substituição vidro lateral dianteiro direito</v>
          </cell>
          <cell r="D123" t="str">
            <v>R$180,00</v>
          </cell>
        </row>
        <row r="124">
          <cell r="C124" t="str">
            <v>Mão de obra substituição vidro lateral dianteiro esquerdo</v>
          </cell>
          <cell r="D124" t="str">
            <v>R$180,00</v>
          </cell>
        </row>
        <row r="125">
          <cell r="C125" t="str">
            <v>Mão de obra substituição vidro traseiro</v>
          </cell>
          <cell r="D125" t="str">
            <v>R$180,00</v>
          </cell>
        </row>
        <row r="126">
          <cell r="C126" t="str">
            <v>Mão de obra troca vidro do teto solar</v>
          </cell>
          <cell r="D126" t="str">
            <v>R$180,00</v>
          </cell>
        </row>
        <row r="127">
          <cell r="C127" t="str">
            <v>Troca de frisos do teto</v>
          </cell>
          <cell r="D127" t="str">
            <v>R$160,00</v>
          </cell>
        </row>
        <row r="128">
          <cell r="C128" t="str">
            <v>Reposição frisos do teto</v>
          </cell>
          <cell r="D128" t="str">
            <v>R$160,00</v>
          </cell>
        </row>
        <row r="129">
          <cell r="C129" t="str">
            <v>Reposição jogo de tapetes de borracha</v>
          </cell>
          <cell r="D129" t="str">
            <v>R$160,00</v>
          </cell>
        </row>
        <row r="130">
          <cell r="C130" t="str">
            <v>Troca de jogo de tapetes de borracha</v>
          </cell>
          <cell r="D130" t="str">
            <v>R$160,00</v>
          </cell>
        </row>
        <row r="131">
          <cell r="C131" t="str">
            <v>Reposição do manual do carro</v>
          </cell>
          <cell r="D131" t="str">
            <v>R$150,00</v>
          </cell>
        </row>
        <row r="132">
          <cell r="C132" t="str">
            <v>Mão de obra troca do para-choque dianteiro</v>
          </cell>
          <cell r="D132" t="str">
            <v>R$140,00</v>
          </cell>
        </row>
        <row r="133">
          <cell r="C133" t="str">
            <v>Mão de obra troca do para-choque traseiro</v>
          </cell>
          <cell r="D133" t="str">
            <v>R$140,00</v>
          </cell>
        </row>
        <row r="134">
          <cell r="C134" t="str">
            <v>Mão de obra troca do para-lama dianteiro esquerdo</v>
          </cell>
          <cell r="D134" t="str">
            <v>R$140,00</v>
          </cell>
        </row>
        <row r="135">
          <cell r="C135" t="str">
            <v>Mão de obra troca do para-lama dianteiro direito</v>
          </cell>
          <cell r="D135" t="str">
            <v>R$140,00</v>
          </cell>
        </row>
        <row r="136">
          <cell r="C136" t="str">
            <v>Mão de obra troca da porta dianteira esquerda</v>
          </cell>
          <cell r="D136" t="str">
            <v>R$140,00</v>
          </cell>
        </row>
        <row r="137">
          <cell r="C137" t="str">
            <v>Mão de obra troca de porta dianteira direita</v>
          </cell>
          <cell r="D137" t="str">
            <v>R$140,00</v>
          </cell>
        </row>
        <row r="138">
          <cell r="C138" t="str">
            <v>Mão de obra troca da porta traseira esquerda</v>
          </cell>
          <cell r="D138" t="str">
            <v>R$140,00</v>
          </cell>
        </row>
        <row r="139">
          <cell r="C139" t="str">
            <v>Mão de obra troca da porta traseira direita</v>
          </cell>
          <cell r="D139" t="str">
            <v>R$140,00</v>
          </cell>
        </row>
        <row r="140">
          <cell r="C140" t="str">
            <v>Mão de obra troca capô</v>
          </cell>
          <cell r="D140" t="str">
            <v>R$140,00</v>
          </cell>
        </row>
        <row r="141">
          <cell r="C141" t="str">
            <v>Mão de obra troca tampa traseira</v>
          </cell>
          <cell r="D141" t="str">
            <v>R$140,00</v>
          </cell>
        </row>
        <row r="142">
          <cell r="C142" t="str">
            <v>Mão de obra troca  lanterna esquerda</v>
          </cell>
          <cell r="D142" t="str">
            <v>R$140,00</v>
          </cell>
        </row>
        <row r="143">
          <cell r="C143" t="str">
            <v>Mão de obra troca lanterna direita</v>
          </cell>
          <cell r="D143" t="str">
            <v>R$140,00</v>
          </cell>
        </row>
        <row r="144">
          <cell r="C144" t="str">
            <v>Mão de obra troca farol esquerdo</v>
          </cell>
          <cell r="D144" t="str">
            <v>R$140,00</v>
          </cell>
        </row>
        <row r="145">
          <cell r="C145" t="str">
            <v>Mão de obra troca farol direito</v>
          </cell>
          <cell r="D145" t="str">
            <v>R$140,00</v>
          </cell>
        </row>
        <row r="146">
          <cell r="C146" t="str">
            <v>Mão de obra troca farol de neblina direito</v>
          </cell>
          <cell r="D146" t="str">
            <v>R$140,00</v>
          </cell>
        </row>
        <row r="147">
          <cell r="C147" t="str">
            <v>Mão de obra troca farol de neblina esquerdo</v>
          </cell>
          <cell r="D147" t="str">
            <v>R$140,00</v>
          </cell>
        </row>
        <row r="148">
          <cell r="C148" t="str">
            <v>Mão de obra troca retrovisor esquerdo</v>
          </cell>
          <cell r="D148" t="str">
            <v>R$140,00</v>
          </cell>
        </row>
        <row r="149">
          <cell r="C149" t="str">
            <v>Mão de obra troca retrovisor direito</v>
          </cell>
          <cell r="D149" t="str">
            <v>R$140,00</v>
          </cell>
        </row>
        <row r="150">
          <cell r="C150" t="str">
            <v>Mão de obra troca retrovisor interno</v>
          </cell>
          <cell r="D150" t="str">
            <v>R$140,00</v>
          </cell>
        </row>
        <row r="151">
          <cell r="C151" t="str">
            <v>Mão de obra troca do repetidor de seta direito</v>
          </cell>
          <cell r="D151" t="str">
            <v>R$140,00</v>
          </cell>
        </row>
        <row r="152">
          <cell r="C152" t="str">
            <v>Mão de obra troca do repetidor de seta esquerdo</v>
          </cell>
          <cell r="D152" t="str">
            <v>R$140,00</v>
          </cell>
        </row>
        <row r="153">
          <cell r="C153" t="str">
            <v>Martelinho de ouro no capô</v>
          </cell>
          <cell r="D153" t="str">
            <v>R$140,00</v>
          </cell>
        </row>
        <row r="154">
          <cell r="C154" t="str">
            <v>Martelinho de ouro no teto</v>
          </cell>
          <cell r="D154" t="str">
            <v>R$140,00</v>
          </cell>
        </row>
        <row r="155">
          <cell r="C155" t="str">
            <v>Martelinho de ouro porta dianteira esquerda</v>
          </cell>
          <cell r="D155" t="str">
            <v>R$140,00</v>
          </cell>
        </row>
        <row r="156">
          <cell r="C156" t="str">
            <v>Martelinho de ouro porta dianteira direita</v>
          </cell>
          <cell r="D156" t="str">
            <v>R$140,00</v>
          </cell>
        </row>
        <row r="157">
          <cell r="C157" t="str">
            <v>Martelinho de ouro porta traseira esquerda</v>
          </cell>
          <cell r="D157" t="str">
            <v>R$140,00</v>
          </cell>
        </row>
        <row r="158">
          <cell r="C158" t="str">
            <v>Martelinho de ouro porta traseira direita</v>
          </cell>
          <cell r="D158" t="str">
            <v>R$140,00</v>
          </cell>
        </row>
        <row r="159">
          <cell r="C159" t="str">
            <v>Martelinho de ouro para-lama dianteiro esquerdo</v>
          </cell>
          <cell r="D159" t="str">
            <v>R$140,00</v>
          </cell>
        </row>
        <row r="160">
          <cell r="C160" t="str">
            <v>Martelinho de ouro para-lama dianteiro direito</v>
          </cell>
          <cell r="D160" t="str">
            <v>R$140,00</v>
          </cell>
        </row>
        <row r="161">
          <cell r="C161" t="str">
            <v>Martelinho de ouro para-lama traseiro esquerdo</v>
          </cell>
          <cell r="D161" t="str">
            <v>R$140,00</v>
          </cell>
        </row>
        <row r="162">
          <cell r="C162" t="str">
            <v>Martelinho de ouro para-lama traseiro direito</v>
          </cell>
          <cell r="D162" t="str">
            <v>R$140,00</v>
          </cell>
        </row>
        <row r="163">
          <cell r="C163" t="str">
            <v>Martelinho de ouro tampa do porta-malas</v>
          </cell>
          <cell r="D163" t="str">
            <v>R$140,00</v>
          </cell>
        </row>
        <row r="164">
          <cell r="C164" t="str">
            <v>Martelinho de ouro coluna central esquerda</v>
          </cell>
          <cell r="D164" t="str">
            <v>R$140,00</v>
          </cell>
        </row>
        <row r="165">
          <cell r="C165" t="str">
            <v>Martelinho de ouro coluna central direita</v>
          </cell>
          <cell r="D165" t="str">
            <v>R$140,00</v>
          </cell>
        </row>
        <row r="166">
          <cell r="C166" t="str">
            <v>Martelinho de ouro coluna dianteira esquerda</v>
          </cell>
          <cell r="D166" t="str">
            <v>R$140,00</v>
          </cell>
        </row>
        <row r="167">
          <cell r="C167" t="str">
            <v>Martelinho de ouro coluna dianteira direita</v>
          </cell>
          <cell r="D167" t="str">
            <v>R$140,00</v>
          </cell>
        </row>
        <row r="168">
          <cell r="C168" t="str">
            <v>Martelinho de ouro lateral direita</v>
          </cell>
          <cell r="D168" t="str">
            <v>R$140,00</v>
          </cell>
        </row>
        <row r="169">
          <cell r="C169" t="str">
            <v>Martelinho de ouro lateral esquerda</v>
          </cell>
          <cell r="D169" t="str">
            <v>R$140,00</v>
          </cell>
        </row>
        <row r="170">
          <cell r="C170" t="str">
            <v>Martelinho de ouro coluna traseira esquerda</v>
          </cell>
          <cell r="D170" t="str">
            <v>R$140,00</v>
          </cell>
        </row>
        <row r="171">
          <cell r="C171" t="str">
            <v>Martelinho de ouro coluna traseira direita</v>
          </cell>
          <cell r="D171" t="str">
            <v>R$140,00</v>
          </cell>
        </row>
        <row r="172">
          <cell r="C172" t="str">
            <v>Troca placa dianteira</v>
          </cell>
          <cell r="D172" t="str">
            <v>R$140,00</v>
          </cell>
        </row>
        <row r="173">
          <cell r="C173" t="str">
            <v>Troca placa traseira</v>
          </cell>
          <cell r="D173" t="str">
            <v>R$140,00</v>
          </cell>
        </row>
        <row r="174">
          <cell r="C174" t="str">
            <v>Pintura retrovisor direito</v>
          </cell>
          <cell r="D174" t="str">
            <v>R$150,00</v>
          </cell>
        </row>
        <row r="175">
          <cell r="C175" t="str">
            <v>Pintura retrovisor esquerdo</v>
          </cell>
          <cell r="D175" t="str">
            <v>R$150,00</v>
          </cell>
        </row>
        <row r="176">
          <cell r="C176" t="str">
            <v>Reparo de peça plástica retrovisor direito</v>
          </cell>
          <cell r="D176" t="str">
            <v>R$140,00</v>
          </cell>
        </row>
        <row r="177">
          <cell r="C177" t="str">
            <v>Reparo de peça plástica retrovisor esquerdo</v>
          </cell>
          <cell r="D177" t="str">
            <v>R$140,00</v>
          </cell>
        </row>
        <row r="178">
          <cell r="C178" t="str">
            <v>Troca jogo de calotas</v>
          </cell>
          <cell r="D178" t="str">
            <v>R$135,00</v>
          </cell>
        </row>
        <row r="179">
          <cell r="C179" t="str">
            <v>Troca antena</v>
          </cell>
          <cell r="D179" t="str">
            <v>R$130,00</v>
          </cell>
        </row>
        <row r="180">
          <cell r="C180" t="str">
            <v>Lavagem motor</v>
          </cell>
          <cell r="D180" t="str">
            <v>R$120,00</v>
          </cell>
        </row>
        <row r="181">
          <cell r="C181" t="str">
            <v>Retirada de adesivo</v>
          </cell>
          <cell r="D181" t="str">
            <v>R$110,00</v>
          </cell>
        </row>
        <row r="182">
          <cell r="C182" t="str">
            <v>Serviço de polimento remoção de adesivo</v>
          </cell>
          <cell r="D182" t="str">
            <v>R$250,00</v>
          </cell>
        </row>
        <row r="183">
          <cell r="C183" t="str">
            <v>Reparo roda de ferro dianteira esquerda amassada</v>
          </cell>
          <cell r="D183" t="str">
            <v>R$100,00</v>
          </cell>
        </row>
        <row r="184">
          <cell r="C184" t="str">
            <v>Reparo roda de ferro dianteira direita amassada</v>
          </cell>
          <cell r="D184" t="str">
            <v>R$100,00</v>
          </cell>
        </row>
        <row r="185">
          <cell r="C185" t="str">
            <v>Reparo roda de ferro traseira esquerda amassada</v>
          </cell>
          <cell r="D185" t="str">
            <v>R$100,00</v>
          </cell>
        </row>
        <row r="186">
          <cell r="C186" t="str">
            <v>Reparo roda de ferro traseira direita amassada</v>
          </cell>
          <cell r="D186" t="str">
            <v>R$100,00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3" xr16:uid="{3CA1719E-27CD-4571-A8DB-5941BDFA7395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3" dataBound="0" tableColumnId="3"/>
      <queryTableField id="2" name="Column2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83C0BA2-9EB4-4B37-99CA-1D49489D5C3E}" name="Table001__Page_13" displayName="Table001__Page_13" ref="A1:C175" tableType="queryTable" totalsRowShown="0" headerRowDxfId="6" dataDxfId="5">
  <autoFilter ref="A1:C175" xr:uid="{B83C0BA2-9EB4-4B37-99CA-1D49489D5C3E}"/>
  <tableColumns count="3">
    <tableColumn id="1" xr3:uid="{EAFBC0BB-C7FA-4080-808D-5FC9A0DFFADB}" uniqueName="1" name="TIPO DE SERVIÇOS" queryTableFieldId="1" dataDxfId="4"/>
    <tableColumn id="3" xr3:uid="{4EADD985-2576-4FE2-965A-901521DB0E46}" uniqueName="3" name="DESCRIÇÃO PARA CARTA DE AVARIAS" queryTableFieldId="3" dataDxfId="3"/>
    <tableColumn id="2" xr3:uid="{FA50E344-2752-4E9F-BC18-6ABFE504745C}" uniqueName="2" name="VALOR" queryTableFieldId="2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137EC-03E9-452E-99DC-4233C533C0B6}">
  <sheetPr codeName="Planilha1">
    <pageSetUpPr fitToPage="1"/>
  </sheetPr>
  <dimension ref="B1:K247"/>
  <sheetViews>
    <sheetView showGridLines="0" tabSelected="1" topLeftCell="A17" zoomScale="75" zoomScaleNormal="75" workbookViewId="0">
      <selection activeCell="F59" sqref="F59"/>
    </sheetView>
  </sheetViews>
  <sheetFormatPr defaultRowHeight="14.5"/>
  <cols>
    <col min="2" max="2" width="20.1796875" customWidth="1"/>
    <col min="3" max="3" width="24" customWidth="1"/>
    <col min="4" max="4" width="63.54296875" style="43" customWidth="1"/>
    <col min="5" max="5" width="11.54296875" customWidth="1"/>
    <col min="6" max="6" width="26.453125" bestFit="1" customWidth="1"/>
    <col min="7" max="7" width="9.453125" bestFit="1" customWidth="1"/>
    <col min="8" max="8" width="11.81640625" bestFit="1" customWidth="1"/>
    <col min="10" max="10" width="14.26953125" bestFit="1" customWidth="1"/>
  </cols>
  <sheetData>
    <row r="1" spans="2:11" ht="25" customHeight="1" thickBot="1">
      <c r="B1" s="8"/>
      <c r="C1" s="8"/>
      <c r="D1" s="8"/>
      <c r="E1" s="8"/>
      <c r="F1" s="8"/>
      <c r="G1" s="8"/>
    </row>
    <row r="2" spans="2:11" ht="20.149999999999999" customHeight="1">
      <c r="B2" s="81"/>
      <c r="C2" s="84" t="s">
        <v>243</v>
      </c>
      <c r="D2" s="85"/>
      <c r="E2" s="85"/>
      <c r="F2" s="86"/>
      <c r="G2" s="9"/>
    </row>
    <row r="3" spans="2:11" ht="15" customHeight="1">
      <c r="B3" s="82"/>
      <c r="C3" s="87"/>
      <c r="D3" s="88"/>
      <c r="E3" s="88"/>
      <c r="F3" s="89"/>
      <c r="G3" s="46"/>
      <c r="H3" s="1"/>
      <c r="I3" s="1"/>
      <c r="J3" s="1"/>
      <c r="K3" s="1"/>
    </row>
    <row r="4" spans="2:11" ht="15" customHeight="1">
      <c r="B4" s="82"/>
      <c r="C4" s="87"/>
      <c r="D4" s="88"/>
      <c r="E4" s="88"/>
      <c r="F4" s="89"/>
      <c r="G4" s="46"/>
      <c r="H4" s="1"/>
      <c r="I4" s="1"/>
      <c r="J4" s="1"/>
      <c r="K4" s="1"/>
    </row>
    <row r="5" spans="2:11" ht="15" customHeight="1" thickBot="1">
      <c r="B5" s="83"/>
      <c r="C5" s="90"/>
      <c r="D5" s="91"/>
      <c r="E5" s="91"/>
      <c r="F5" s="92"/>
      <c r="G5" s="46"/>
      <c r="H5" s="1"/>
      <c r="I5" s="1"/>
      <c r="J5" s="1"/>
      <c r="K5" s="1"/>
    </row>
    <row r="6" spans="2:11" ht="25" customHeight="1">
      <c r="B6" s="9"/>
      <c r="C6" s="9"/>
      <c r="D6" s="9"/>
      <c r="E6" s="9"/>
      <c r="F6" s="9"/>
      <c r="G6" s="46"/>
      <c r="H6" s="1"/>
      <c r="I6" s="1"/>
      <c r="J6" s="1"/>
      <c r="K6" s="1"/>
    </row>
    <row r="7" spans="2:11" s="2" customFormat="1" ht="17.149999999999999" customHeight="1">
      <c r="B7" s="18" t="s">
        <v>16</v>
      </c>
      <c r="C7" s="3" t="s">
        <v>251</v>
      </c>
      <c r="D7" s="3"/>
      <c r="E7" s="3"/>
      <c r="F7" s="11"/>
      <c r="G7" s="47"/>
      <c r="H7" s="35"/>
      <c r="I7" s="35"/>
      <c r="J7" s="35"/>
      <c r="K7" s="35"/>
    </row>
    <row r="8" spans="2:11" s="2" customFormat="1" ht="17.149999999999999" customHeight="1">
      <c r="B8" s="19" t="s">
        <v>8</v>
      </c>
      <c r="C8" s="78"/>
      <c r="D8" s="4"/>
      <c r="E8" s="4"/>
      <c r="F8" s="12"/>
      <c r="G8" s="47"/>
      <c r="H8" s="35"/>
      <c r="I8" s="48"/>
      <c r="J8" s="35"/>
      <c r="K8" s="35"/>
    </row>
    <row r="9" spans="2:11" ht="15" customHeight="1">
      <c r="B9" s="13"/>
      <c r="C9" s="13"/>
      <c r="D9" s="13"/>
      <c r="E9" s="13"/>
      <c r="F9" s="13"/>
      <c r="G9" s="9"/>
    </row>
    <row r="10" spans="2:11" s="2" customFormat="1" ht="17.149999999999999" customHeight="1">
      <c r="B10" s="18" t="s">
        <v>7</v>
      </c>
      <c r="C10" s="5" t="s">
        <v>251</v>
      </c>
      <c r="D10" s="3"/>
      <c r="E10" s="79" t="s">
        <v>0</v>
      </c>
      <c r="F10" s="80"/>
      <c r="G10" s="10"/>
    </row>
    <row r="11" spans="2:11" s="2" customFormat="1" ht="17.149999999999999" customHeight="1">
      <c r="B11" s="20" t="s">
        <v>9</v>
      </c>
      <c r="C11" s="6"/>
      <c r="D11" s="6"/>
      <c r="E11" s="94">
        <f>F59</f>
        <v>0</v>
      </c>
      <c r="F11" s="95"/>
      <c r="G11" s="10"/>
    </row>
    <row r="12" spans="2:11" s="2" customFormat="1" ht="17.149999999999999" customHeight="1">
      <c r="B12" s="19" t="s">
        <v>10</v>
      </c>
      <c r="C12" s="78"/>
      <c r="D12" s="4"/>
      <c r="E12" s="96"/>
      <c r="F12" s="97"/>
      <c r="G12" s="10"/>
    </row>
    <row r="13" spans="2:11" ht="15" customHeight="1">
      <c r="B13" s="13"/>
      <c r="C13" s="13"/>
      <c r="D13" s="13"/>
      <c r="E13" s="13"/>
      <c r="F13" s="13"/>
      <c r="G13" s="9"/>
      <c r="I13" s="1"/>
    </row>
    <row r="14" spans="2:11" s="2" customFormat="1" ht="17.149999999999999" customHeight="1">
      <c r="B14" s="26"/>
      <c r="C14" s="5"/>
      <c r="D14" s="5"/>
      <c r="E14" s="5"/>
      <c r="F14" s="27"/>
      <c r="G14" s="10"/>
    </row>
    <row r="15" spans="2:11" s="2" customFormat="1" ht="17.149999999999999" customHeight="1">
      <c r="B15" s="28" t="s">
        <v>244</v>
      </c>
      <c r="C15" s="29"/>
      <c r="D15" s="29"/>
      <c r="E15" s="29"/>
      <c r="F15" s="30"/>
      <c r="G15" s="10"/>
    </row>
    <row r="16" spans="2:11" s="2" customFormat="1" ht="17.149999999999999" customHeight="1">
      <c r="B16" s="31"/>
      <c r="C16" s="32"/>
      <c r="D16" s="32"/>
      <c r="E16" s="32"/>
      <c r="F16" s="33"/>
      <c r="G16" s="10"/>
    </row>
    <row r="17" spans="2:8" ht="15" customHeight="1">
      <c r="B17" s="13"/>
      <c r="C17" s="13"/>
      <c r="D17" s="13"/>
      <c r="E17" s="13"/>
      <c r="F17" s="13"/>
      <c r="G17" s="9"/>
    </row>
    <row r="18" spans="2:8" s="2" customFormat="1" ht="20.149999999999999" customHeight="1">
      <c r="B18" s="98" t="s">
        <v>3</v>
      </c>
      <c r="C18" s="98"/>
      <c r="D18" s="98"/>
      <c r="E18" s="98"/>
      <c r="F18" s="98"/>
      <c r="G18" s="10"/>
    </row>
    <row r="19" spans="2:8">
      <c r="B19" s="99" t="s">
        <v>15</v>
      </c>
      <c r="C19" s="99"/>
      <c r="D19" s="99"/>
      <c r="E19" s="99"/>
      <c r="F19" s="99"/>
      <c r="G19" s="9"/>
    </row>
    <row r="20" spans="2:8" ht="15.5">
      <c r="B20" s="7"/>
      <c r="C20" s="7"/>
      <c r="D20" s="7"/>
      <c r="E20" s="7"/>
      <c r="F20" s="7"/>
      <c r="G20" s="9"/>
    </row>
    <row r="21" spans="2:8" ht="15.5">
      <c r="B21" s="93" t="s">
        <v>14</v>
      </c>
      <c r="C21" s="93"/>
      <c r="D21" s="93"/>
      <c r="E21" s="93"/>
      <c r="F21" s="93"/>
      <c r="G21" s="9"/>
    </row>
    <row r="22" spans="2:8" ht="15.5">
      <c r="B22" s="14"/>
      <c r="C22" s="14"/>
      <c r="D22" s="14"/>
      <c r="E22" s="14"/>
      <c r="F22" s="14"/>
      <c r="G22" s="9"/>
    </row>
    <row r="23" spans="2:8" s="2" customFormat="1" ht="20.149999999999999" customHeight="1">
      <c r="B23" s="25" t="s">
        <v>1</v>
      </c>
      <c r="C23" s="21" t="s">
        <v>2</v>
      </c>
      <c r="D23" s="22" t="s">
        <v>3</v>
      </c>
      <c r="E23" s="21" t="s">
        <v>4</v>
      </c>
      <c r="F23" s="21" t="s">
        <v>5</v>
      </c>
      <c r="G23" s="10"/>
    </row>
    <row r="24" spans="2:8" ht="17.149999999999999" customHeight="1">
      <c r="B24" s="40">
        <f>IF(D24&gt;"",1,"")</f>
        <v>1</v>
      </c>
      <c r="C24" s="41" t="str">
        <f>IF(D24&gt;"","Avarias de Devolução","")</f>
        <v>Avarias de Devolução</v>
      </c>
      <c r="D24" s="37" t="s">
        <v>245</v>
      </c>
      <c r="E24" s="36">
        <v>1</v>
      </c>
      <c r="F24" s="38">
        <v>320</v>
      </c>
      <c r="G24" s="9"/>
      <c r="H24" s="49">
        <f>IFERROR(_xlfn.XLOOKUP(D24,[1]LPU!$C:$C,[1]LPU!$D:$D)*Orçamento_Padrão!E24,F24)</f>
        <v>320</v>
      </c>
    </row>
    <row r="25" spans="2:8" ht="17.149999999999999" customHeight="1">
      <c r="B25" s="40">
        <f>IF(D25&gt;"",SUM(B24+1),"")</f>
        <v>2</v>
      </c>
      <c r="C25" s="41" t="str">
        <f t="shared" ref="C25:C57" si="0">IF(D25&gt;"","Avarias de Devolução","")</f>
        <v>Avarias de Devolução</v>
      </c>
      <c r="D25" s="37" t="s">
        <v>246</v>
      </c>
      <c r="E25" s="36">
        <v>1</v>
      </c>
      <c r="F25" s="38">
        <v>320</v>
      </c>
      <c r="G25" s="9"/>
      <c r="H25" s="49">
        <f>IFERROR(_xlfn.XLOOKUP(D25,[1]LPU!$C:$C,[1]LPU!$D:$D)*Orçamento_Padrão!E25,F25)</f>
        <v>320</v>
      </c>
    </row>
    <row r="26" spans="2:8" ht="17.149999999999999" customHeight="1">
      <c r="B26" s="40" t="str">
        <f>IF(D26&gt;"",SUM(B25+1),"")</f>
        <v/>
      </c>
      <c r="C26" s="41" t="str">
        <f t="shared" si="0"/>
        <v/>
      </c>
      <c r="D26" s="37"/>
      <c r="E26" s="36"/>
      <c r="F26" s="38"/>
      <c r="G26" s="9"/>
      <c r="H26" s="49">
        <f>IFERROR(_xlfn.XLOOKUP(D26,[1]LPU!$C:$C,[1]LPU!$D:$D)*Orçamento_Padrão!E26,F26)</f>
        <v>0</v>
      </c>
    </row>
    <row r="27" spans="2:8" ht="17.149999999999999" customHeight="1">
      <c r="B27" s="40" t="str">
        <f t="shared" ref="B27:B57" si="1">IF(D27&gt;"",SUM(B26+1),"")</f>
        <v/>
      </c>
      <c r="C27" s="41" t="str">
        <f t="shared" si="0"/>
        <v/>
      </c>
      <c r="D27" s="37"/>
      <c r="E27" s="36"/>
      <c r="F27" s="38"/>
      <c r="G27" s="9"/>
      <c r="H27" s="49">
        <f>IFERROR(_xlfn.XLOOKUP(D27,[1]LPU!$C:$C,[1]LPU!$D:$D)*Orçamento_Padrão!E27,F27)</f>
        <v>0</v>
      </c>
    </row>
    <row r="28" spans="2:8" ht="17.149999999999999" customHeight="1">
      <c r="B28" s="40" t="str">
        <f t="shared" si="1"/>
        <v/>
      </c>
      <c r="C28" s="41" t="str">
        <f t="shared" si="0"/>
        <v/>
      </c>
      <c r="D28" s="37"/>
      <c r="E28" s="36"/>
      <c r="F28" s="38"/>
      <c r="G28" s="9"/>
      <c r="H28" s="49">
        <f>IFERROR(_xlfn.XLOOKUP(D28,[1]LPU!$C:$C,[1]LPU!$D:$D)*Orçamento_Padrão!E28,F28)</f>
        <v>0</v>
      </c>
    </row>
    <row r="29" spans="2:8" ht="17.149999999999999" customHeight="1">
      <c r="B29" s="40" t="str">
        <f>IF(D29&gt;"",SUM(B28+1),"")</f>
        <v/>
      </c>
      <c r="C29" s="41" t="str">
        <f>IF(D29&gt;"","Avarias de Devolução","")</f>
        <v/>
      </c>
      <c r="D29" s="37"/>
      <c r="E29" s="36"/>
      <c r="F29" s="38"/>
      <c r="G29" s="9"/>
      <c r="H29" s="49">
        <f>IFERROR(_xlfn.XLOOKUP(D29,[1]LPU!$C:$C,[1]LPU!$D:$D)*Orçamento_Padrão!E29,F29)</f>
        <v>0</v>
      </c>
    </row>
    <row r="30" spans="2:8" ht="17.149999999999999" customHeight="1">
      <c r="B30" s="40" t="str">
        <f>IF(D30&gt;"",SUM(B29+1),"")</f>
        <v/>
      </c>
      <c r="C30" s="41" t="str">
        <f>IF(D30&gt;"","Avarias de Devolução","")</f>
        <v/>
      </c>
      <c r="D30" s="37"/>
      <c r="E30" s="36"/>
      <c r="F30" s="38"/>
      <c r="G30" s="9"/>
      <c r="H30" s="49">
        <f>IFERROR(_xlfn.XLOOKUP(D30,[1]LPU!$C:$C,[1]LPU!$D:$D)*Orçamento_Padrão!E30,F30)</f>
        <v>0</v>
      </c>
    </row>
    <row r="31" spans="2:8" ht="17.149999999999999" hidden="1" customHeight="1">
      <c r="B31" s="40" t="str">
        <f t="shared" si="1"/>
        <v/>
      </c>
      <c r="C31" s="41" t="str">
        <f t="shared" si="0"/>
        <v/>
      </c>
      <c r="D31" s="37"/>
      <c r="E31" s="36"/>
      <c r="F31" s="38"/>
      <c r="G31" s="9"/>
      <c r="H31" s="49">
        <f>IFERROR(_xlfn.XLOOKUP(D31,[1]LPU!$C:$C,[1]LPU!$D:$D)*Orçamento_Padrão!E31,F31)</f>
        <v>0</v>
      </c>
    </row>
    <row r="32" spans="2:8" ht="17.149999999999999" hidden="1" customHeight="1">
      <c r="B32" s="40" t="str">
        <f t="shared" si="1"/>
        <v/>
      </c>
      <c r="C32" s="41" t="str">
        <f t="shared" si="0"/>
        <v/>
      </c>
      <c r="D32" s="37"/>
      <c r="E32" s="36"/>
      <c r="F32" s="38"/>
      <c r="G32" s="9"/>
      <c r="H32" s="49">
        <f>IFERROR(_xlfn.XLOOKUP(D32,[1]LPU!$C:$C,[1]LPU!$D:$D)*Orçamento_Padrão!E32,F32)</f>
        <v>0</v>
      </c>
    </row>
    <row r="33" spans="2:8" ht="17.149999999999999" hidden="1" customHeight="1">
      <c r="B33" s="40" t="str">
        <f t="shared" si="1"/>
        <v/>
      </c>
      <c r="C33" s="41" t="str">
        <f t="shared" si="0"/>
        <v/>
      </c>
      <c r="D33" s="37"/>
      <c r="E33" s="36"/>
      <c r="F33" s="38"/>
      <c r="G33" s="9"/>
      <c r="H33" s="49">
        <f>IFERROR(_xlfn.XLOOKUP(D33,[1]LPU!$C:$C,[1]LPU!$D:$D)*Orçamento_Padrão!E33,F33)</f>
        <v>0</v>
      </c>
    </row>
    <row r="34" spans="2:8" ht="17.149999999999999" hidden="1" customHeight="1">
      <c r="B34" s="40" t="str">
        <f t="shared" si="1"/>
        <v/>
      </c>
      <c r="C34" s="41" t="str">
        <f t="shared" si="0"/>
        <v/>
      </c>
      <c r="D34" s="37"/>
      <c r="E34" s="36">
        <v>1</v>
      </c>
      <c r="F34" s="38"/>
      <c r="G34" s="9"/>
      <c r="H34" s="49">
        <f>IFERROR(_xlfn.XLOOKUP(D34,[1]LPU!$C:$C,[1]LPU!$D:$D)*Orçamento_Padrão!E34,F34)</f>
        <v>0</v>
      </c>
    </row>
    <row r="35" spans="2:8" ht="17.149999999999999" hidden="1" customHeight="1">
      <c r="B35" s="40" t="str">
        <f t="shared" si="1"/>
        <v/>
      </c>
      <c r="C35" s="41" t="str">
        <f t="shared" si="0"/>
        <v/>
      </c>
      <c r="D35" s="37"/>
      <c r="E35" s="36">
        <v>1</v>
      </c>
      <c r="F35" s="38"/>
      <c r="G35" s="9"/>
      <c r="H35" s="49">
        <f>IFERROR(_xlfn.XLOOKUP(D35,[1]LPU!$C:$C,[1]LPU!$D:$D)*Orçamento_Padrão!E35,F35)</f>
        <v>0</v>
      </c>
    </row>
    <row r="36" spans="2:8" ht="17.149999999999999" hidden="1" customHeight="1">
      <c r="B36" s="40" t="str">
        <f t="shared" si="1"/>
        <v/>
      </c>
      <c r="C36" s="41" t="str">
        <f t="shared" si="0"/>
        <v/>
      </c>
      <c r="D36" s="37"/>
      <c r="E36" s="36">
        <v>1</v>
      </c>
      <c r="F36" s="38"/>
      <c r="G36" s="9"/>
      <c r="H36" s="49">
        <f>IFERROR(_xlfn.XLOOKUP(D36,[1]LPU!$C:$C,[1]LPU!$D:$D)*Orçamento_Padrão!E36,F36)</f>
        <v>0</v>
      </c>
    </row>
    <row r="37" spans="2:8" ht="17.149999999999999" hidden="1" customHeight="1">
      <c r="B37" s="40" t="str">
        <f t="shared" si="1"/>
        <v/>
      </c>
      <c r="C37" s="41" t="str">
        <f t="shared" si="0"/>
        <v/>
      </c>
      <c r="D37" s="37"/>
      <c r="E37" s="36">
        <v>1</v>
      </c>
      <c r="F37" s="38"/>
      <c r="G37" s="9"/>
      <c r="H37" s="49">
        <f>IFERROR(_xlfn.XLOOKUP(D37,[1]LPU!$C:$C,[1]LPU!$D:$D)*Orçamento_Padrão!E37,F37)</f>
        <v>0</v>
      </c>
    </row>
    <row r="38" spans="2:8" ht="17.149999999999999" hidden="1" customHeight="1">
      <c r="B38" s="40" t="str">
        <f t="shared" si="1"/>
        <v/>
      </c>
      <c r="C38" s="41" t="str">
        <f t="shared" si="0"/>
        <v/>
      </c>
      <c r="D38" s="37"/>
      <c r="E38" s="36">
        <v>1</v>
      </c>
      <c r="F38" s="38"/>
      <c r="G38" s="9"/>
      <c r="H38" s="49">
        <f>IFERROR(_xlfn.XLOOKUP(D38,[1]LPU!$C:$C,[1]LPU!$D:$D)*Orçamento_Padrão!E38,F38)</f>
        <v>0</v>
      </c>
    </row>
    <row r="39" spans="2:8" ht="17.149999999999999" hidden="1" customHeight="1">
      <c r="B39" s="40" t="str">
        <f t="shared" si="1"/>
        <v/>
      </c>
      <c r="C39" s="41" t="str">
        <f t="shared" si="0"/>
        <v/>
      </c>
      <c r="D39" s="37"/>
      <c r="E39" s="36">
        <v>1</v>
      </c>
      <c r="F39" s="38"/>
      <c r="G39" s="9"/>
      <c r="H39" s="49">
        <f>IFERROR(_xlfn.XLOOKUP(D39,[1]LPU!$C:$C,[1]LPU!$D:$D)*Orçamento_Padrão!E39,F39)</f>
        <v>0</v>
      </c>
    </row>
    <row r="40" spans="2:8" ht="17.149999999999999" hidden="1" customHeight="1">
      <c r="B40" s="40" t="str">
        <f t="shared" si="1"/>
        <v/>
      </c>
      <c r="C40" s="41" t="str">
        <f t="shared" si="0"/>
        <v/>
      </c>
      <c r="D40" s="37"/>
      <c r="E40" s="36">
        <v>1</v>
      </c>
      <c r="F40" s="38"/>
      <c r="G40" s="9"/>
      <c r="H40" s="49">
        <f>IFERROR(_xlfn.XLOOKUP(D40,[1]LPU!$C:$C,[1]LPU!$D:$D)*Orçamento_Padrão!E40,F40)</f>
        <v>0</v>
      </c>
    </row>
    <row r="41" spans="2:8" ht="17.149999999999999" hidden="1" customHeight="1">
      <c r="B41" s="40" t="str">
        <f t="shared" si="1"/>
        <v/>
      </c>
      <c r="C41" s="41" t="str">
        <f t="shared" si="0"/>
        <v/>
      </c>
      <c r="D41" s="37"/>
      <c r="E41" s="36">
        <v>1</v>
      </c>
      <c r="F41" s="38"/>
      <c r="G41" s="9"/>
      <c r="H41" s="49">
        <f>IFERROR(_xlfn.XLOOKUP(D41,[1]LPU!$C:$C,[1]LPU!$D:$D)*Orçamento_Padrão!E41,F41)</f>
        <v>0</v>
      </c>
    </row>
    <row r="42" spans="2:8" ht="17.149999999999999" hidden="1" customHeight="1">
      <c r="B42" s="40" t="str">
        <f t="shared" si="1"/>
        <v/>
      </c>
      <c r="C42" s="41" t="str">
        <f t="shared" si="0"/>
        <v/>
      </c>
      <c r="D42" s="37"/>
      <c r="E42" s="36">
        <v>1</v>
      </c>
      <c r="F42" s="38"/>
      <c r="G42" s="9"/>
      <c r="H42" s="49">
        <f>IFERROR(_xlfn.XLOOKUP(D42,[1]LPU!$C:$C,[1]LPU!$D:$D)*Orçamento_Padrão!E42,F42)</f>
        <v>0</v>
      </c>
    </row>
    <row r="43" spans="2:8" ht="17.149999999999999" hidden="1" customHeight="1">
      <c r="B43" s="40" t="str">
        <f t="shared" si="1"/>
        <v/>
      </c>
      <c r="C43" s="41" t="str">
        <f t="shared" si="0"/>
        <v/>
      </c>
      <c r="D43" s="37"/>
      <c r="E43" s="36">
        <v>1</v>
      </c>
      <c r="F43" s="38"/>
      <c r="G43" s="9"/>
      <c r="H43" s="49">
        <f>IFERROR(_xlfn.XLOOKUP(D43,[1]LPU!$C:$C,[1]LPU!$D:$D)*Orçamento_Padrão!E43,F43)</f>
        <v>0</v>
      </c>
    </row>
    <row r="44" spans="2:8" ht="17.149999999999999" hidden="1" customHeight="1">
      <c r="B44" s="40" t="str">
        <f t="shared" si="1"/>
        <v/>
      </c>
      <c r="C44" s="41" t="str">
        <f t="shared" si="0"/>
        <v/>
      </c>
      <c r="D44" s="37"/>
      <c r="E44" s="36">
        <v>1</v>
      </c>
      <c r="F44" s="38"/>
      <c r="G44" s="9"/>
      <c r="H44" s="49">
        <f>IFERROR(_xlfn.XLOOKUP(D44,[1]LPU!$C:$C,[1]LPU!$D:$D)*Orçamento_Padrão!E44,F44)</f>
        <v>0</v>
      </c>
    </row>
    <row r="45" spans="2:8" ht="17.149999999999999" hidden="1" customHeight="1">
      <c r="B45" s="40" t="str">
        <f t="shared" si="1"/>
        <v/>
      </c>
      <c r="C45" s="41" t="str">
        <f t="shared" si="0"/>
        <v/>
      </c>
      <c r="D45" s="37"/>
      <c r="E45" s="36">
        <v>1</v>
      </c>
      <c r="F45" s="38"/>
      <c r="G45" s="9"/>
      <c r="H45" s="49">
        <f>IFERROR(_xlfn.XLOOKUP(D45,[1]LPU!$C:$C,[1]LPU!$D:$D)*Orçamento_Padrão!E45,F45)</f>
        <v>0</v>
      </c>
    </row>
    <row r="46" spans="2:8" ht="17.149999999999999" hidden="1" customHeight="1">
      <c r="B46" s="40" t="str">
        <f t="shared" si="1"/>
        <v/>
      </c>
      <c r="C46" s="41" t="str">
        <f t="shared" si="0"/>
        <v/>
      </c>
      <c r="D46" s="37"/>
      <c r="E46" s="36">
        <v>1</v>
      </c>
      <c r="F46" s="38"/>
      <c r="G46" s="9"/>
      <c r="H46" s="49">
        <f>IFERROR(_xlfn.XLOOKUP(D46,[1]LPU!$C:$C,[1]LPU!$D:$D)*Orçamento_Padrão!E46,F46)</f>
        <v>0</v>
      </c>
    </row>
    <row r="47" spans="2:8" ht="17.149999999999999" hidden="1" customHeight="1">
      <c r="B47" s="40" t="str">
        <f t="shared" si="1"/>
        <v/>
      </c>
      <c r="C47" s="41" t="str">
        <f t="shared" si="0"/>
        <v/>
      </c>
      <c r="D47" s="37"/>
      <c r="E47" s="36">
        <v>1</v>
      </c>
      <c r="F47" s="38"/>
      <c r="G47" s="9"/>
      <c r="H47" s="49">
        <f>IFERROR(_xlfn.XLOOKUP(D47,[1]LPU!$C:$C,[1]LPU!$D:$D)*Orçamento_Padrão!E47,F47)</f>
        <v>0</v>
      </c>
    </row>
    <row r="48" spans="2:8" ht="17.149999999999999" hidden="1" customHeight="1">
      <c r="B48" s="40" t="str">
        <f t="shared" si="1"/>
        <v/>
      </c>
      <c r="C48" s="41" t="str">
        <f t="shared" si="0"/>
        <v/>
      </c>
      <c r="D48" s="37"/>
      <c r="E48" s="36">
        <v>1</v>
      </c>
      <c r="F48" s="38"/>
      <c r="G48" s="9"/>
      <c r="H48" s="49">
        <f>IFERROR(_xlfn.XLOOKUP(D48,[1]LPU!$C:$C,[1]LPU!$D:$D)*Orçamento_Padrão!E48,F48)</f>
        <v>0</v>
      </c>
    </row>
    <row r="49" spans="2:8" ht="17.149999999999999" hidden="1" customHeight="1">
      <c r="B49" s="40" t="str">
        <f t="shared" si="1"/>
        <v/>
      </c>
      <c r="C49" s="41" t="str">
        <f t="shared" si="0"/>
        <v/>
      </c>
      <c r="D49" s="37"/>
      <c r="E49" s="36">
        <v>1</v>
      </c>
      <c r="F49" s="38"/>
      <c r="G49" s="9"/>
      <c r="H49" s="49">
        <f>IFERROR(_xlfn.XLOOKUP(D49,[1]LPU!$C:$C,[1]LPU!$D:$D)*Orçamento_Padrão!E49,F49)</f>
        <v>0</v>
      </c>
    </row>
    <row r="50" spans="2:8" ht="17.149999999999999" hidden="1" customHeight="1">
      <c r="B50" s="40" t="str">
        <f t="shared" si="1"/>
        <v/>
      </c>
      <c r="C50" s="41" t="str">
        <f t="shared" si="0"/>
        <v/>
      </c>
      <c r="D50" s="37"/>
      <c r="E50" s="36">
        <v>1</v>
      </c>
      <c r="F50" s="38"/>
      <c r="G50" s="9"/>
      <c r="H50" s="49">
        <f>IFERROR(_xlfn.XLOOKUP(D50,[1]LPU!$C:$C,[1]LPU!$D:$D)*Orçamento_Padrão!E50,F50)</f>
        <v>0</v>
      </c>
    </row>
    <row r="51" spans="2:8" ht="17.149999999999999" hidden="1" customHeight="1">
      <c r="B51" s="40" t="str">
        <f t="shared" si="1"/>
        <v/>
      </c>
      <c r="C51" s="41" t="str">
        <f t="shared" si="0"/>
        <v/>
      </c>
      <c r="D51" s="37"/>
      <c r="E51" s="36">
        <v>1</v>
      </c>
      <c r="F51" s="38"/>
      <c r="G51" s="9"/>
      <c r="H51" s="49">
        <f>IFERROR(_xlfn.XLOOKUP(D51,[1]LPU!$C:$C,[1]LPU!$D:$D)*Orçamento_Padrão!E51,F51)</f>
        <v>0</v>
      </c>
    </row>
    <row r="52" spans="2:8" ht="17.149999999999999" hidden="1" customHeight="1">
      <c r="B52" s="40" t="str">
        <f t="shared" si="1"/>
        <v/>
      </c>
      <c r="C52" s="41" t="str">
        <f t="shared" si="0"/>
        <v/>
      </c>
      <c r="D52" s="37"/>
      <c r="E52" s="36">
        <v>1</v>
      </c>
      <c r="F52" s="38"/>
      <c r="G52" s="9"/>
      <c r="H52" s="49">
        <f>IFERROR(_xlfn.XLOOKUP(D52,[1]LPU!$C:$C,[1]LPU!$D:$D)*Orçamento_Padrão!E52,F52)</f>
        <v>0</v>
      </c>
    </row>
    <row r="53" spans="2:8" ht="17.149999999999999" hidden="1" customHeight="1">
      <c r="B53" s="40" t="str">
        <f t="shared" si="1"/>
        <v/>
      </c>
      <c r="C53" s="41" t="str">
        <f t="shared" si="0"/>
        <v/>
      </c>
      <c r="D53" s="37"/>
      <c r="E53" s="36">
        <v>1</v>
      </c>
      <c r="F53" s="38"/>
      <c r="G53" s="9"/>
      <c r="H53" s="49">
        <f>IFERROR(_xlfn.XLOOKUP(D53,[1]LPU!$C:$C,[1]LPU!$D:$D)*Orçamento_Padrão!E53,F53)</f>
        <v>0</v>
      </c>
    </row>
    <row r="54" spans="2:8" ht="17.149999999999999" hidden="1" customHeight="1">
      <c r="B54" s="40" t="str">
        <f t="shared" si="1"/>
        <v/>
      </c>
      <c r="C54" s="41" t="str">
        <f t="shared" si="0"/>
        <v/>
      </c>
      <c r="D54" s="37"/>
      <c r="E54" s="36">
        <v>1</v>
      </c>
      <c r="F54" s="38"/>
      <c r="G54" s="9"/>
      <c r="H54" s="49">
        <f>IFERROR(_xlfn.XLOOKUP(D54,[1]LPU!$C:$C,[1]LPU!$D:$D)*Orçamento_Padrão!E54,F54)</f>
        <v>0</v>
      </c>
    </row>
    <row r="55" spans="2:8" ht="17.149999999999999" hidden="1" customHeight="1">
      <c r="B55" s="40" t="str">
        <f t="shared" si="1"/>
        <v/>
      </c>
      <c r="C55" s="41" t="str">
        <f t="shared" si="0"/>
        <v/>
      </c>
      <c r="D55" s="37"/>
      <c r="E55" s="36">
        <v>1</v>
      </c>
      <c r="F55" s="38"/>
      <c r="G55" s="9"/>
      <c r="H55" s="49">
        <f>IFERROR(_xlfn.XLOOKUP(D55,[1]LPU!$C:$C,[1]LPU!$D:$D)*Orçamento_Padrão!E55,F55)</f>
        <v>0</v>
      </c>
    </row>
    <row r="56" spans="2:8" ht="17.149999999999999" hidden="1" customHeight="1">
      <c r="B56" s="40" t="str">
        <f t="shared" si="1"/>
        <v/>
      </c>
      <c r="C56" s="41" t="str">
        <f t="shared" si="0"/>
        <v/>
      </c>
      <c r="D56" s="37"/>
      <c r="E56" s="36">
        <v>1</v>
      </c>
      <c r="F56" s="38"/>
      <c r="G56" s="9"/>
      <c r="H56" s="49">
        <f>IFERROR(_xlfn.XLOOKUP(D56,[1]LPU!$C:$C,[1]LPU!$D:$D)*Orçamento_Padrão!E56,F56)</f>
        <v>0</v>
      </c>
    </row>
    <row r="57" spans="2:8" ht="17.149999999999999" hidden="1" customHeight="1">
      <c r="B57" s="40" t="str">
        <f t="shared" si="1"/>
        <v/>
      </c>
      <c r="C57" s="41" t="str">
        <f t="shared" si="0"/>
        <v/>
      </c>
      <c r="D57" s="37"/>
      <c r="E57" s="36">
        <v>1</v>
      </c>
      <c r="F57" s="38"/>
      <c r="G57" s="9"/>
      <c r="H57" s="49">
        <f>IFERROR(_xlfn.XLOOKUP(D57,[1]LPU!$C:$C,[1]LPU!$D:$D)*Orçamento_Padrão!E57,F57)</f>
        <v>0</v>
      </c>
    </row>
    <row r="58" spans="2:8" ht="15.5">
      <c r="B58" s="15"/>
      <c r="C58" s="15"/>
      <c r="D58" s="15"/>
      <c r="E58" s="16"/>
      <c r="F58" s="17"/>
      <c r="G58" s="9"/>
      <c r="H58" s="49">
        <f>IFERROR(_xlfn.XLOOKUP(D58,[1]LPU!$C:$C,[1]LPU!$D:$D)*Orçamento_Padrão!E58,F58)</f>
        <v>0</v>
      </c>
    </row>
    <row r="59" spans="2:8" s="2" customFormat="1" ht="25" customHeight="1">
      <c r="B59" s="15"/>
      <c r="C59" s="15"/>
      <c r="D59" s="63"/>
      <c r="E59" s="25" t="s">
        <v>6</v>
      </c>
      <c r="F59" s="39">
        <f>F64</f>
        <v>0</v>
      </c>
      <c r="G59" s="10"/>
      <c r="H59" s="49">
        <f>IFERROR(_xlfn.XLOOKUP(D59,[1]LPU!$C:$C,[1]LPU!$D:$D)*Orçamento_Padrão!E59,F59)</f>
        <v>0</v>
      </c>
    </row>
    <row r="60" spans="2:8" ht="15.5">
      <c r="B60" s="15"/>
      <c r="C60" s="15"/>
      <c r="D60" s="64"/>
      <c r="E60" s="9"/>
      <c r="F60" s="9"/>
      <c r="G60" s="9"/>
      <c r="H60" s="49">
        <f>IFERROR(_xlfn.XLOOKUP(D60,[1]LPU!$C:$C,[1]LPU!$D:$D)*Orçamento_Padrão!E60,F60)</f>
        <v>0</v>
      </c>
    </row>
    <row r="61" spans="2:8" ht="15.5">
      <c r="B61" s="15"/>
      <c r="C61" s="15"/>
      <c r="D61" s="64"/>
      <c r="E61" s="9"/>
      <c r="F61" s="9"/>
      <c r="G61" s="9"/>
      <c r="H61" s="49">
        <f>IFERROR(_xlfn.XLOOKUP(D61,[1]LPU!$C:$C,[1]LPU!$D:$D)*Orçamento_Padrão!E61,F61)</f>
        <v>0</v>
      </c>
    </row>
    <row r="62" spans="2:8" ht="15.5">
      <c r="B62" s="15"/>
      <c r="C62" s="15"/>
      <c r="D62" s="64"/>
      <c r="E62" s="9"/>
      <c r="F62" s="9"/>
      <c r="G62" s="9"/>
      <c r="H62" s="49">
        <f>IFERROR(_xlfn.XLOOKUP(D62,[1]LPU!$C:$C,[1]LPU!$D:$D)*Orçamento_Padrão!E62,F62)</f>
        <v>0</v>
      </c>
    </row>
    <row r="63" spans="2:8" ht="15.5">
      <c r="B63" s="15"/>
      <c r="C63" s="15"/>
      <c r="D63" s="64"/>
      <c r="E63" s="9"/>
      <c r="F63" s="9"/>
      <c r="G63" s="9"/>
      <c r="H63" s="49">
        <f>IFERROR(_xlfn.XLOOKUP(D63,[1]LPU!$C:$C,[1]LPU!$D:$D)*Orçamento_Padrão!E63,F63)</f>
        <v>0</v>
      </c>
    </row>
    <row r="64" spans="2:8" ht="15.5">
      <c r="B64" s="15"/>
      <c r="C64" s="15"/>
      <c r="D64" s="64"/>
      <c r="E64" s="9"/>
      <c r="F64" s="9"/>
      <c r="G64" s="9"/>
      <c r="H64" s="49">
        <f>IFERROR(_xlfn.XLOOKUP(D64,[1]LPU!$C:$C,[1]LPU!$D:$D)*Orçamento_Padrão!E64,F64)</f>
        <v>0</v>
      </c>
    </row>
    <row r="65" spans="2:8" ht="15.5">
      <c r="B65" s="15"/>
      <c r="C65" s="15"/>
      <c r="D65" s="64"/>
      <c r="E65" s="9"/>
      <c r="F65" s="9"/>
      <c r="G65" s="9"/>
      <c r="H65" s="49">
        <f>IFERROR(_xlfn.XLOOKUP(D65,[1]LPU!$C:$C,[1]LPU!$D:$D)*Orçamento_Padrão!E65,F65)</f>
        <v>0</v>
      </c>
    </row>
    <row r="66" spans="2:8" ht="15.5">
      <c r="B66" s="15"/>
      <c r="C66" s="15"/>
      <c r="D66" s="64"/>
      <c r="E66" s="9"/>
      <c r="F66" s="9"/>
      <c r="G66" s="9"/>
      <c r="H66" s="49">
        <f>IFERROR(_xlfn.XLOOKUP(D66,[1]LPU!$C:$C,[1]LPU!$D:$D)*Orçamento_Padrão!E66,F66)</f>
        <v>0</v>
      </c>
    </row>
    <row r="67" spans="2:8" ht="15.5">
      <c r="B67" s="15"/>
      <c r="C67" s="15"/>
      <c r="H67" s="49">
        <f>IFERROR(_xlfn.XLOOKUP(D67,[1]LPU!$C:$C,[1]LPU!$D:$D)*Orçamento_Padrão!E67,F67)</f>
        <v>0</v>
      </c>
    </row>
    <row r="68" spans="2:8">
      <c r="H68" s="49">
        <f>IFERROR(_xlfn.XLOOKUP(D68,[1]LPU!$C:$C,[1]LPU!$D:$D)*Orçamento_Padrão!E68,F68)</f>
        <v>0</v>
      </c>
    </row>
    <row r="69" spans="2:8">
      <c r="H69" s="49">
        <f>IFERROR(_xlfn.XLOOKUP(D69,[1]LPU!$C:$C,[1]LPU!$D:$D)*Orçamento_Padrão!E69,F69)</f>
        <v>0</v>
      </c>
    </row>
    <row r="70" spans="2:8">
      <c r="H70" s="49">
        <f>IFERROR(_xlfn.XLOOKUP(D70,[1]LPU!$C:$C,[1]LPU!$D:$D)*Orçamento_Padrão!E70,F70)</f>
        <v>0</v>
      </c>
    </row>
    <row r="71" spans="2:8">
      <c r="H71" s="49">
        <f>IFERROR(_xlfn.XLOOKUP(D71,[1]LPU!$C:$C,[1]LPU!$D:$D)*Orçamento_Padrão!E71,F71)</f>
        <v>0</v>
      </c>
    </row>
    <row r="72" spans="2:8">
      <c r="H72" s="49">
        <f>IFERROR(_xlfn.XLOOKUP(D72,[1]LPU!$C:$C,[1]LPU!$D:$D)*Orçamento_Padrão!E72,F72)</f>
        <v>0</v>
      </c>
    </row>
    <row r="73" spans="2:8">
      <c r="H73" s="49">
        <f>IFERROR(_xlfn.XLOOKUP(D73,[1]LPU!$C:$C,[1]LPU!$D:$D)*Orçamento_Padrão!E73,F73)</f>
        <v>0</v>
      </c>
    </row>
    <row r="74" spans="2:8">
      <c r="H74" s="49">
        <f>IFERROR(_xlfn.XLOOKUP(D74,[1]LPU!$C:$C,[1]LPU!$D:$D)*Orçamento_Padrão!E74,F74)</f>
        <v>0</v>
      </c>
    </row>
    <row r="75" spans="2:8">
      <c r="H75" s="49">
        <f>IFERROR(_xlfn.XLOOKUP(D75,[1]LPU!$C:$C,[1]LPU!$D:$D)*Orçamento_Padrão!E75,F75)</f>
        <v>0</v>
      </c>
    </row>
    <row r="76" spans="2:8">
      <c r="H76" s="49">
        <f>IFERROR(_xlfn.XLOOKUP(D76,[1]LPU!$C:$C,[1]LPU!$D:$D)*Orçamento_Padrão!E76,F76)</f>
        <v>0</v>
      </c>
    </row>
    <row r="77" spans="2:8">
      <c r="H77" s="49">
        <f>IFERROR(_xlfn.XLOOKUP(D77,[1]LPU!$C:$C,[1]LPU!$D:$D)*Orçamento_Padrão!E77,F77)</f>
        <v>0</v>
      </c>
    </row>
    <row r="78" spans="2:8">
      <c r="H78" s="49">
        <f>IFERROR(_xlfn.XLOOKUP(D78,[1]LPU!$C:$C,[1]LPU!$D:$D)*Orçamento_Padrão!E78,F78)</f>
        <v>0</v>
      </c>
    </row>
    <row r="79" spans="2:8">
      <c r="H79" s="49">
        <f>IFERROR(_xlfn.XLOOKUP(D79,[1]LPU!$C:$C,[1]LPU!$D:$D)*Orçamento_Padrão!E79,F79)</f>
        <v>0</v>
      </c>
    </row>
    <row r="80" spans="2:8">
      <c r="H80" s="49">
        <f>IFERROR(_xlfn.XLOOKUP(D80,[1]LPU!$C:$C,[1]LPU!$D:$D)*Orçamento_Padrão!E80,F80)</f>
        <v>0</v>
      </c>
    </row>
    <row r="81" spans="8:8">
      <c r="H81" s="49">
        <f>IFERROR(_xlfn.XLOOKUP(D81,[1]LPU!$C:$C,[1]LPU!$D:$D)*Orçamento_Padrão!E81,F81)</f>
        <v>0</v>
      </c>
    </row>
    <row r="82" spans="8:8">
      <c r="H82" s="49">
        <f>IFERROR(_xlfn.XLOOKUP(D82,[1]LPU!$C:$C,[1]LPU!$D:$D)*Orçamento_Padrão!E82,F82)</f>
        <v>0</v>
      </c>
    </row>
    <row r="83" spans="8:8">
      <c r="H83" s="49">
        <f>IFERROR(_xlfn.XLOOKUP(D83,[1]LPU!$C:$C,[1]LPU!$D:$D)*Orçamento_Padrão!E83,F83)</f>
        <v>0</v>
      </c>
    </row>
    <row r="84" spans="8:8">
      <c r="H84" s="49">
        <f>IFERROR(_xlfn.XLOOKUP(D84,[1]LPU!$C:$C,[1]LPU!$D:$D)*Orçamento_Padrão!E84,F84)</f>
        <v>0</v>
      </c>
    </row>
    <row r="85" spans="8:8">
      <c r="H85" s="49">
        <f>IFERROR(_xlfn.XLOOKUP(D85,[1]LPU!$C:$C,[1]LPU!$D:$D)*Orçamento_Padrão!E85,F85)</f>
        <v>0</v>
      </c>
    </row>
    <row r="86" spans="8:8">
      <c r="H86" s="49">
        <f>IFERROR(_xlfn.XLOOKUP(D86,[1]LPU!$C:$C,[1]LPU!$D:$D)*Orçamento_Padrão!E86,F86)</f>
        <v>0</v>
      </c>
    </row>
    <row r="87" spans="8:8">
      <c r="H87" s="49">
        <f>IFERROR(_xlfn.XLOOKUP(D87,[1]LPU!$C:$C,[1]LPU!$D:$D)*Orçamento_Padrão!E87,F87)</f>
        <v>0</v>
      </c>
    </row>
    <row r="88" spans="8:8">
      <c r="H88" s="49">
        <f>IFERROR(_xlfn.XLOOKUP(D88,[1]LPU!$C:$C,[1]LPU!$D:$D)*Orçamento_Padrão!E88,F88)</f>
        <v>0</v>
      </c>
    </row>
    <row r="89" spans="8:8">
      <c r="H89" s="49">
        <f>IFERROR(_xlfn.XLOOKUP(D89,[1]LPU!$C:$C,[1]LPU!$D:$D)*Orçamento_Padrão!E89,F89)</f>
        <v>0</v>
      </c>
    </row>
    <row r="90" spans="8:8">
      <c r="H90" s="49">
        <f>IFERROR(_xlfn.XLOOKUP(D90,[1]LPU!$C:$C,[1]LPU!$D:$D)*Orçamento_Padrão!E90,F90)</f>
        <v>0</v>
      </c>
    </row>
    <row r="91" spans="8:8">
      <c r="H91" s="49">
        <f>IFERROR(_xlfn.XLOOKUP(D91,[1]LPU!$C:$C,[1]LPU!$D:$D)*Orçamento_Padrão!E91,F91)</f>
        <v>0</v>
      </c>
    </row>
    <row r="92" spans="8:8">
      <c r="H92" s="49">
        <f>IFERROR(_xlfn.XLOOKUP(D92,[1]LPU!$C:$C,[1]LPU!$D:$D)*Orçamento_Padrão!E92,F92)</f>
        <v>0</v>
      </c>
    </row>
    <row r="93" spans="8:8">
      <c r="H93" s="49">
        <f>IFERROR(_xlfn.XLOOKUP(D93,[1]LPU!$C:$C,[1]LPU!$D:$D)*Orçamento_Padrão!E93,F93)</f>
        <v>0</v>
      </c>
    </row>
    <row r="94" spans="8:8">
      <c r="H94" s="49">
        <f>IFERROR(_xlfn.XLOOKUP(D94,[1]LPU!$C:$C,[1]LPU!$D:$D)*Orçamento_Padrão!E94,F94)</f>
        <v>0</v>
      </c>
    </row>
    <row r="95" spans="8:8">
      <c r="H95" s="49">
        <f>IFERROR(_xlfn.XLOOKUP(D95,[1]LPU!$C:$C,[1]LPU!$D:$D)*Orçamento_Padrão!E95,F95)</f>
        <v>0</v>
      </c>
    </row>
    <row r="96" spans="8:8">
      <c r="H96" s="49">
        <f>IFERROR(_xlfn.XLOOKUP(D96,[1]LPU!$C:$C,[1]LPU!$D:$D)*Orçamento_Padrão!E96,F96)</f>
        <v>0</v>
      </c>
    </row>
    <row r="97" spans="8:8">
      <c r="H97" s="49">
        <f>IFERROR(_xlfn.XLOOKUP(D97,[1]LPU!$C:$C,[1]LPU!$D:$D)*Orçamento_Padrão!E97,F97)</f>
        <v>0</v>
      </c>
    </row>
    <row r="98" spans="8:8">
      <c r="H98" s="49">
        <f>IFERROR(_xlfn.XLOOKUP(D98,[1]LPU!$C:$C,[1]LPU!$D:$D)*Orçamento_Padrão!E98,F98)</f>
        <v>0</v>
      </c>
    </row>
    <row r="99" spans="8:8">
      <c r="H99" s="49">
        <f>IFERROR(_xlfn.XLOOKUP(D99,[1]LPU!$C:$C,[1]LPU!$D:$D)*Orçamento_Padrão!E99,F99)</f>
        <v>0</v>
      </c>
    </row>
    <row r="100" spans="8:8">
      <c r="H100" s="49">
        <f>IFERROR(_xlfn.XLOOKUP(D100,[1]LPU!$C:$C,[1]LPU!$D:$D)*Orçamento_Padrão!E100,F100)</f>
        <v>0</v>
      </c>
    </row>
    <row r="101" spans="8:8">
      <c r="H101" s="49">
        <f>IFERROR(_xlfn.XLOOKUP(D101,[1]LPU!$C:$C,[1]LPU!$D:$D)*Orçamento_Padrão!E101,F101)</f>
        <v>0</v>
      </c>
    </row>
    <row r="102" spans="8:8">
      <c r="H102" s="49">
        <f>IFERROR(_xlfn.XLOOKUP(D102,[1]LPU!$C:$C,[1]LPU!$D:$D)*Orçamento_Padrão!E102,F102)</f>
        <v>0</v>
      </c>
    </row>
    <row r="103" spans="8:8">
      <c r="H103" s="49">
        <f>IFERROR(_xlfn.XLOOKUP(D103,[1]LPU!$C:$C,[1]LPU!$D:$D)*Orçamento_Padrão!E103,F103)</f>
        <v>0</v>
      </c>
    </row>
    <row r="104" spans="8:8">
      <c r="H104" s="49">
        <f>IFERROR(_xlfn.XLOOKUP(D104,[1]LPU!$C:$C,[1]LPU!$D:$D)*Orçamento_Padrão!E104,F104)</f>
        <v>0</v>
      </c>
    </row>
    <row r="105" spans="8:8">
      <c r="H105" s="49">
        <f>IFERROR(_xlfn.XLOOKUP(D105,[1]LPU!$C:$C,[1]LPU!$D:$D)*Orçamento_Padrão!E105,F105)</f>
        <v>0</v>
      </c>
    </row>
    <row r="106" spans="8:8">
      <c r="H106" s="49">
        <f>IFERROR(_xlfn.XLOOKUP(D106,[1]LPU!$C:$C,[1]LPU!$D:$D)*Orçamento_Padrão!E106,F106)</f>
        <v>0</v>
      </c>
    </row>
    <row r="107" spans="8:8">
      <c r="H107" s="49">
        <f>IFERROR(_xlfn.XLOOKUP(D107,[1]LPU!$C:$C,[1]LPU!$D:$D)*Orçamento_Padrão!E107,F107)</f>
        <v>0</v>
      </c>
    </row>
    <row r="108" spans="8:8">
      <c r="H108" s="49">
        <f>IFERROR(_xlfn.XLOOKUP(D108,[1]LPU!$C:$C,[1]LPU!$D:$D)*Orçamento_Padrão!E108,F108)</f>
        <v>0</v>
      </c>
    </row>
    <row r="109" spans="8:8">
      <c r="H109" s="49">
        <f>IFERROR(_xlfn.XLOOKUP(D109,[1]LPU!$C:$C,[1]LPU!$D:$D)*Orçamento_Padrão!E109,F109)</f>
        <v>0</v>
      </c>
    </row>
    <row r="110" spans="8:8">
      <c r="H110" s="49">
        <f>IFERROR(_xlfn.XLOOKUP(D110,[1]LPU!$C:$C,[1]LPU!$D:$D)*Orçamento_Padrão!E110,F110)</f>
        <v>0</v>
      </c>
    </row>
    <row r="111" spans="8:8">
      <c r="H111" s="49">
        <f>IFERROR(_xlfn.XLOOKUP(D111,[1]LPU!$C:$C,[1]LPU!$D:$D)*Orçamento_Padrão!E111,F111)</f>
        <v>0</v>
      </c>
    </row>
    <row r="112" spans="8:8">
      <c r="H112" s="49">
        <f>IFERROR(_xlfn.XLOOKUP(D112,[1]LPU!$C:$C,[1]LPU!$D:$D)*Orçamento_Padrão!E112,F112)</f>
        <v>0</v>
      </c>
    </row>
    <row r="113" spans="8:8">
      <c r="H113" s="49">
        <f>IFERROR(_xlfn.XLOOKUP(D113,[1]LPU!$C:$C,[1]LPU!$D:$D)*Orçamento_Padrão!E113,F113)</f>
        <v>0</v>
      </c>
    </row>
    <row r="114" spans="8:8">
      <c r="H114" s="49">
        <f>IFERROR(_xlfn.XLOOKUP(D114,[1]LPU!$C:$C,[1]LPU!$D:$D)*Orçamento_Padrão!E114,F114)</f>
        <v>0</v>
      </c>
    </row>
    <row r="115" spans="8:8">
      <c r="H115" s="49">
        <f>IFERROR(_xlfn.XLOOKUP(D115,[1]LPU!$C:$C,[1]LPU!$D:$D)*Orçamento_Padrão!E115,F115)</f>
        <v>0</v>
      </c>
    </row>
    <row r="116" spans="8:8">
      <c r="H116" s="49">
        <f>IFERROR(_xlfn.XLOOKUP(D116,[1]LPU!$C:$C,[1]LPU!$D:$D)*Orçamento_Padrão!E116,F116)</f>
        <v>0</v>
      </c>
    </row>
    <row r="117" spans="8:8">
      <c r="H117" s="49">
        <f>IFERROR(_xlfn.XLOOKUP(D117,[1]LPU!$C:$C,[1]LPU!$D:$D)*Orçamento_Padrão!E117,F117)</f>
        <v>0</v>
      </c>
    </row>
    <row r="118" spans="8:8">
      <c r="H118" s="49">
        <f>IFERROR(_xlfn.XLOOKUP(D118,[1]LPU!$C:$C,[1]LPU!$D:$D)*Orçamento_Padrão!E118,F118)</f>
        <v>0</v>
      </c>
    </row>
    <row r="119" spans="8:8">
      <c r="H119" s="49">
        <f>IFERROR(_xlfn.XLOOKUP(D119,[1]LPU!$C:$C,[1]LPU!$D:$D)*Orçamento_Padrão!E119,F119)</f>
        <v>0</v>
      </c>
    </row>
    <row r="120" spans="8:8">
      <c r="H120" s="49">
        <f>IFERROR(_xlfn.XLOOKUP(D120,[1]LPU!$C:$C,[1]LPU!$D:$D)*Orçamento_Padrão!E120,F120)</f>
        <v>0</v>
      </c>
    </row>
    <row r="121" spans="8:8">
      <c r="H121" s="49">
        <f>IFERROR(_xlfn.XLOOKUP(D121,[1]LPU!$C:$C,[1]LPU!$D:$D)*Orçamento_Padrão!E121,F121)</f>
        <v>0</v>
      </c>
    </row>
    <row r="122" spans="8:8">
      <c r="H122" s="49">
        <f>IFERROR(_xlfn.XLOOKUP(D122,[1]LPU!$C:$C,[1]LPU!$D:$D)*Orçamento_Padrão!E122,F122)</f>
        <v>0</v>
      </c>
    </row>
    <row r="123" spans="8:8">
      <c r="H123" s="49">
        <f>IFERROR(_xlfn.XLOOKUP(D123,[1]LPU!$C:$C,[1]LPU!$D:$D)*Orçamento_Padrão!E123,F123)</f>
        <v>0</v>
      </c>
    </row>
    <row r="124" spans="8:8">
      <c r="H124" s="49">
        <f>IFERROR(_xlfn.XLOOKUP(D124,[1]LPU!$C:$C,[1]LPU!$D:$D)*Orçamento_Padrão!E124,F124)</f>
        <v>0</v>
      </c>
    </row>
    <row r="125" spans="8:8">
      <c r="H125" s="49">
        <f>IFERROR(_xlfn.XLOOKUP(D125,[1]LPU!$C:$C,[1]LPU!$D:$D)*Orçamento_Padrão!E125,F125)</f>
        <v>0</v>
      </c>
    </row>
    <row r="126" spans="8:8">
      <c r="H126" s="49">
        <f>IFERROR(_xlfn.XLOOKUP(D126,[1]LPU!$C:$C,[1]LPU!$D:$D)*Orçamento_Padrão!E126,F126)</f>
        <v>0</v>
      </c>
    </row>
    <row r="127" spans="8:8">
      <c r="H127" s="49">
        <f>IFERROR(_xlfn.XLOOKUP(D127,[1]LPU!$C:$C,[1]LPU!$D:$D)*Orçamento_Padrão!E127,F127)</f>
        <v>0</v>
      </c>
    </row>
    <row r="128" spans="8:8">
      <c r="H128" s="49">
        <f>IFERROR(_xlfn.XLOOKUP(D128,[1]LPU!$C:$C,[1]LPU!$D:$D)*Orçamento_Padrão!E128,F128)</f>
        <v>0</v>
      </c>
    </row>
    <row r="129" spans="8:8">
      <c r="H129" s="49">
        <f>IFERROR(_xlfn.XLOOKUP(D129,[1]LPU!$C:$C,[1]LPU!$D:$D)*Orçamento_Padrão!E129,F129)</f>
        <v>0</v>
      </c>
    </row>
    <row r="130" spans="8:8">
      <c r="H130" s="49">
        <f>IFERROR(_xlfn.XLOOKUP(D130,[1]LPU!$C:$C,[1]LPU!$D:$D)*Orçamento_Padrão!E130,F130)</f>
        <v>0</v>
      </c>
    </row>
    <row r="131" spans="8:8">
      <c r="H131" s="49">
        <f>IFERROR(_xlfn.XLOOKUP(D131,[1]LPU!$C:$C,[1]LPU!$D:$D)*Orçamento_Padrão!E131,F131)</f>
        <v>0</v>
      </c>
    </row>
    <row r="132" spans="8:8">
      <c r="H132" s="49">
        <f>IFERROR(_xlfn.XLOOKUP(D132,[1]LPU!$C:$C,[1]LPU!$D:$D)*Orçamento_Padrão!E132,F132)</f>
        <v>0</v>
      </c>
    </row>
    <row r="133" spans="8:8">
      <c r="H133" s="49">
        <f>IFERROR(_xlfn.XLOOKUP(D133,[1]LPU!$C:$C,[1]LPU!$D:$D)*Orçamento_Padrão!E133,F133)</f>
        <v>0</v>
      </c>
    </row>
    <row r="134" spans="8:8">
      <c r="H134" s="49">
        <f>IFERROR(_xlfn.XLOOKUP(D134,[1]LPU!$C:$C,[1]LPU!$D:$D)*Orçamento_Padrão!E134,F134)</f>
        <v>0</v>
      </c>
    </row>
    <row r="135" spans="8:8">
      <c r="H135" s="49">
        <f>IFERROR(_xlfn.XLOOKUP(D135,[1]LPU!$C:$C,[1]LPU!$D:$D)*Orçamento_Padrão!E135,F135)</f>
        <v>0</v>
      </c>
    </row>
    <row r="136" spans="8:8">
      <c r="H136" s="49">
        <f>IFERROR(_xlfn.XLOOKUP(D136,[1]LPU!$C:$C,[1]LPU!$D:$D)*Orçamento_Padrão!E136,F136)</f>
        <v>0</v>
      </c>
    </row>
    <row r="137" spans="8:8">
      <c r="H137" s="49">
        <f>IFERROR(_xlfn.XLOOKUP(D137,[1]LPU!$C:$C,[1]LPU!$D:$D)*Orçamento_Padrão!E137,F137)</f>
        <v>0</v>
      </c>
    </row>
    <row r="138" spans="8:8">
      <c r="H138" s="49">
        <f>IFERROR(_xlfn.XLOOKUP(D138,[1]LPU!$C:$C,[1]LPU!$D:$D)*Orçamento_Padrão!E138,F138)</f>
        <v>0</v>
      </c>
    </row>
    <row r="139" spans="8:8">
      <c r="H139" s="49">
        <f>IFERROR(_xlfn.XLOOKUP(D139,[1]LPU!$C:$C,[1]LPU!$D:$D)*Orçamento_Padrão!E139,F139)</f>
        <v>0</v>
      </c>
    </row>
    <row r="140" spans="8:8">
      <c r="H140" s="49">
        <f>IFERROR(_xlfn.XLOOKUP(D140,[1]LPU!$C:$C,[1]LPU!$D:$D)*Orçamento_Padrão!E140,F140)</f>
        <v>0</v>
      </c>
    </row>
    <row r="141" spans="8:8">
      <c r="H141" s="49">
        <f>IFERROR(_xlfn.XLOOKUP(D141,[1]LPU!$C:$C,[1]LPU!$D:$D)*Orçamento_Padrão!E141,F141)</f>
        <v>0</v>
      </c>
    </row>
    <row r="142" spans="8:8">
      <c r="H142" s="49">
        <f>IFERROR(_xlfn.XLOOKUP(D142,[1]LPU!$C:$C,[1]LPU!$D:$D)*Orçamento_Padrão!E142,F142)</f>
        <v>0</v>
      </c>
    </row>
    <row r="143" spans="8:8">
      <c r="H143" s="49">
        <f>IFERROR(_xlfn.XLOOKUP(D143,[1]LPU!$C:$C,[1]LPU!$D:$D)*Orçamento_Padrão!E143,F143)</f>
        <v>0</v>
      </c>
    </row>
    <row r="144" spans="8:8">
      <c r="H144" s="49">
        <f>IFERROR(_xlfn.XLOOKUP(D144,[1]LPU!$C:$C,[1]LPU!$D:$D)*Orçamento_Padrão!E144,F144)</f>
        <v>0</v>
      </c>
    </row>
    <row r="145" spans="8:8">
      <c r="H145" s="49">
        <f>IFERROR(_xlfn.XLOOKUP(D145,[1]LPU!$C:$C,[1]LPU!$D:$D)*Orçamento_Padrão!E145,F145)</f>
        <v>0</v>
      </c>
    </row>
    <row r="146" spans="8:8">
      <c r="H146" s="49">
        <f>IFERROR(_xlfn.XLOOKUP(D146,[1]LPU!$C:$C,[1]LPU!$D:$D)*Orçamento_Padrão!E146,F146)</f>
        <v>0</v>
      </c>
    </row>
    <row r="147" spans="8:8">
      <c r="H147" s="49">
        <f>IFERROR(_xlfn.XLOOKUP(D147,[1]LPU!$C:$C,[1]LPU!$D:$D)*Orçamento_Padrão!E147,F147)</f>
        <v>0</v>
      </c>
    </row>
    <row r="148" spans="8:8">
      <c r="H148" s="49">
        <f>IFERROR(_xlfn.XLOOKUP(D148,[1]LPU!$C:$C,[1]LPU!$D:$D)*Orçamento_Padrão!E148,F148)</f>
        <v>0</v>
      </c>
    </row>
    <row r="149" spans="8:8">
      <c r="H149" s="49">
        <f>IFERROR(_xlfn.XLOOKUP(D149,[1]LPU!$C:$C,[1]LPU!$D:$D)*Orçamento_Padrão!E149,F149)</f>
        <v>0</v>
      </c>
    </row>
    <row r="150" spans="8:8">
      <c r="H150" s="49">
        <f>IFERROR(_xlfn.XLOOKUP(D150,[1]LPU!$C:$C,[1]LPU!$D:$D)*Orçamento_Padrão!E150,F150)</f>
        <v>0</v>
      </c>
    </row>
    <row r="151" spans="8:8">
      <c r="H151" s="49">
        <f>IFERROR(_xlfn.XLOOKUP(D151,[1]LPU!$C:$C,[1]LPU!$D:$D)*Orçamento_Padrão!E151,F151)</f>
        <v>0</v>
      </c>
    </row>
    <row r="152" spans="8:8">
      <c r="H152" s="49">
        <f>IFERROR(_xlfn.XLOOKUP(D152,[1]LPU!$C:$C,[1]LPU!$D:$D)*Orçamento_Padrão!E152,F152)</f>
        <v>0</v>
      </c>
    </row>
    <row r="153" spans="8:8">
      <c r="H153" s="49">
        <f>IFERROR(_xlfn.XLOOKUP(D153,[1]LPU!$C:$C,[1]LPU!$D:$D)*Orçamento_Padrão!E153,F153)</f>
        <v>0</v>
      </c>
    </row>
    <row r="154" spans="8:8">
      <c r="H154" s="49">
        <f>IFERROR(_xlfn.XLOOKUP(D154,[1]LPU!$C:$C,[1]LPU!$D:$D)*Orçamento_Padrão!E154,F154)</f>
        <v>0</v>
      </c>
    </row>
    <row r="155" spans="8:8">
      <c r="H155" s="49">
        <f>IFERROR(_xlfn.XLOOKUP(D155,[1]LPU!$C:$C,[1]LPU!$D:$D)*Orçamento_Padrão!E155,F155)</f>
        <v>0</v>
      </c>
    </row>
    <row r="156" spans="8:8">
      <c r="H156" s="49">
        <f>IFERROR(_xlfn.XLOOKUP(D156,[1]LPU!$C:$C,[1]LPU!$D:$D)*Orçamento_Padrão!E156,F156)</f>
        <v>0</v>
      </c>
    </row>
    <row r="157" spans="8:8">
      <c r="H157" s="49">
        <f>IFERROR(_xlfn.XLOOKUP(D157,[1]LPU!$C:$C,[1]LPU!$D:$D)*Orçamento_Padrão!E157,F157)</f>
        <v>0</v>
      </c>
    </row>
    <row r="158" spans="8:8">
      <c r="H158" s="49">
        <f>IFERROR(_xlfn.XLOOKUP(D158,[1]LPU!$C:$C,[1]LPU!$D:$D)*Orçamento_Padrão!E158,F158)</f>
        <v>0</v>
      </c>
    </row>
    <row r="159" spans="8:8">
      <c r="H159" s="49">
        <f>IFERROR(_xlfn.XLOOKUP(D159,[1]LPU!$C:$C,[1]LPU!$D:$D)*Orçamento_Padrão!E159,F159)</f>
        <v>0</v>
      </c>
    </row>
    <row r="160" spans="8:8">
      <c r="H160" s="49">
        <f>IFERROR(_xlfn.XLOOKUP(D160,[1]LPU!$C:$C,[1]LPU!$D:$D)*Orçamento_Padrão!E160,F160)</f>
        <v>0</v>
      </c>
    </row>
    <row r="161" spans="8:8">
      <c r="H161" s="49">
        <f>IFERROR(_xlfn.XLOOKUP(D161,[1]LPU!$C:$C,[1]LPU!$D:$D)*Orçamento_Padrão!E161,F161)</f>
        <v>0</v>
      </c>
    </row>
    <row r="162" spans="8:8">
      <c r="H162" s="49">
        <f>IFERROR(_xlfn.XLOOKUP(D162,[1]LPU!$C:$C,[1]LPU!$D:$D)*Orçamento_Padrão!E162,F162)</f>
        <v>0</v>
      </c>
    </row>
    <row r="163" spans="8:8">
      <c r="H163" s="49">
        <f>IFERROR(_xlfn.XLOOKUP(D163,[1]LPU!$C:$C,[1]LPU!$D:$D)*Orçamento_Padrão!E163,F163)</f>
        <v>0</v>
      </c>
    </row>
    <row r="164" spans="8:8">
      <c r="H164" s="49">
        <f>IFERROR(_xlfn.XLOOKUP(D164,[1]LPU!$C:$C,[1]LPU!$D:$D)*Orçamento_Padrão!E164,F164)</f>
        <v>0</v>
      </c>
    </row>
    <row r="165" spans="8:8">
      <c r="H165" s="49">
        <f>IFERROR(_xlfn.XLOOKUP(D165,[1]LPU!$C:$C,[1]LPU!$D:$D)*Orçamento_Padrão!E165,F165)</f>
        <v>0</v>
      </c>
    </row>
    <row r="166" spans="8:8">
      <c r="H166" s="49">
        <f>IFERROR(_xlfn.XLOOKUP(D166,[1]LPU!$C:$C,[1]LPU!$D:$D)*Orçamento_Padrão!E166,F166)</f>
        <v>0</v>
      </c>
    </row>
    <row r="167" spans="8:8">
      <c r="H167" s="49">
        <f>IFERROR(_xlfn.XLOOKUP(D167,[1]LPU!$C:$C,[1]LPU!$D:$D)*Orçamento_Padrão!E167,F167)</f>
        <v>0</v>
      </c>
    </row>
    <row r="168" spans="8:8">
      <c r="H168" s="49">
        <f>IFERROR(_xlfn.XLOOKUP(D168,[1]LPU!$C:$C,[1]LPU!$D:$D)*Orçamento_Padrão!E168,F168)</f>
        <v>0</v>
      </c>
    </row>
    <row r="169" spans="8:8">
      <c r="H169" s="49">
        <f>IFERROR(_xlfn.XLOOKUP(D169,[1]LPU!$C:$C,[1]LPU!$D:$D)*Orçamento_Padrão!E169,F169)</f>
        <v>0</v>
      </c>
    </row>
    <row r="170" spans="8:8">
      <c r="H170" s="49">
        <f>IFERROR(_xlfn.XLOOKUP(D170,[1]LPU!$C:$C,[1]LPU!$D:$D)*Orçamento_Padrão!E170,F170)</f>
        <v>0</v>
      </c>
    </row>
    <row r="171" spans="8:8">
      <c r="H171" s="49">
        <f>IFERROR(_xlfn.XLOOKUP(D171,[1]LPU!$C:$C,[1]LPU!$D:$D)*Orçamento_Padrão!E171,F171)</f>
        <v>0</v>
      </c>
    </row>
    <row r="172" spans="8:8">
      <c r="H172" s="49">
        <f>IFERROR(_xlfn.XLOOKUP(D172,[1]LPU!$C:$C,[1]LPU!$D:$D)*Orçamento_Padrão!E172,F172)</f>
        <v>0</v>
      </c>
    </row>
    <row r="173" spans="8:8">
      <c r="H173" s="49">
        <f>IFERROR(_xlfn.XLOOKUP(D173,[1]LPU!$C:$C,[1]LPU!$D:$D)*Orçamento_Padrão!E173,F173)</f>
        <v>0</v>
      </c>
    </row>
    <row r="174" spans="8:8">
      <c r="H174" s="49">
        <f>IFERROR(_xlfn.XLOOKUP(D174,[1]LPU!$C:$C,[1]LPU!$D:$D)*Orçamento_Padrão!E174,F174)</f>
        <v>0</v>
      </c>
    </row>
    <row r="175" spans="8:8">
      <c r="H175" s="49">
        <f>IFERROR(_xlfn.XLOOKUP(D175,[1]LPU!$C:$C,[1]LPU!$D:$D)*Orçamento_Padrão!E175,F175)</f>
        <v>0</v>
      </c>
    </row>
    <row r="176" spans="8:8">
      <c r="H176" s="49">
        <f>IFERROR(_xlfn.XLOOKUP(D176,[1]LPU!$C:$C,[1]LPU!$D:$D)*Orçamento_Padrão!E176,F176)</f>
        <v>0</v>
      </c>
    </row>
    <row r="177" spans="8:8">
      <c r="H177" s="49">
        <f>IFERROR(_xlfn.XLOOKUP(D177,[1]LPU!$C:$C,[1]LPU!$D:$D)*Orçamento_Padrão!E177,F177)</f>
        <v>0</v>
      </c>
    </row>
    <row r="178" spans="8:8">
      <c r="H178" s="49">
        <f>IFERROR(_xlfn.XLOOKUP(D178,[1]LPU!$C:$C,[1]LPU!$D:$D)*Orçamento_Padrão!E178,F178)</f>
        <v>0</v>
      </c>
    </row>
    <row r="179" spans="8:8">
      <c r="H179" s="49">
        <f>IFERROR(_xlfn.XLOOKUP(D179,[1]LPU!$C:$C,[1]LPU!$D:$D)*Orçamento_Padrão!E179,F179)</f>
        <v>0</v>
      </c>
    </row>
    <row r="180" spans="8:8">
      <c r="H180" s="49">
        <f>IFERROR(_xlfn.XLOOKUP(D180,[1]LPU!$C:$C,[1]LPU!$D:$D)*Orçamento_Padrão!E180,F180)</f>
        <v>0</v>
      </c>
    </row>
    <row r="181" spans="8:8">
      <c r="H181" s="49">
        <f>IFERROR(_xlfn.XLOOKUP(D181,[1]LPU!$C:$C,[1]LPU!$D:$D)*Orçamento_Padrão!E181,F181)</f>
        <v>0</v>
      </c>
    </row>
    <row r="182" spans="8:8">
      <c r="H182" s="49">
        <f>IFERROR(_xlfn.XLOOKUP(D182,[1]LPU!$C:$C,[1]LPU!$D:$D)*Orçamento_Padrão!E182,F182)</f>
        <v>0</v>
      </c>
    </row>
    <row r="183" spans="8:8">
      <c r="H183" s="49">
        <f>IFERROR(_xlfn.XLOOKUP(D183,[1]LPU!$C:$C,[1]LPU!$D:$D)*Orçamento_Padrão!E183,F183)</f>
        <v>0</v>
      </c>
    </row>
    <row r="184" spans="8:8">
      <c r="H184" s="49">
        <f>IFERROR(_xlfn.XLOOKUP(D184,[1]LPU!$C:$C,[1]LPU!$D:$D)*Orçamento_Padrão!E184,F184)</f>
        <v>0</v>
      </c>
    </row>
    <row r="185" spans="8:8">
      <c r="H185" s="49">
        <f>IFERROR(_xlfn.XLOOKUP(D185,[1]LPU!$C:$C,[1]LPU!$D:$D)*Orçamento_Padrão!E185,F185)</f>
        <v>0</v>
      </c>
    </row>
    <row r="186" spans="8:8">
      <c r="H186" s="49">
        <f>IFERROR(_xlfn.XLOOKUP(D186,[1]LPU!$C:$C,[1]LPU!$D:$D)*Orçamento_Padrão!E186,F186)</f>
        <v>0</v>
      </c>
    </row>
    <row r="187" spans="8:8">
      <c r="H187" s="49">
        <f>IFERROR(_xlfn.XLOOKUP(D187,[1]LPU!$C:$C,[1]LPU!$D:$D)*Orçamento_Padrão!E187,F187)</f>
        <v>0</v>
      </c>
    </row>
    <row r="188" spans="8:8">
      <c r="H188" s="49">
        <f>IFERROR(_xlfn.XLOOKUP(D188,[1]LPU!$C:$C,[1]LPU!$D:$D)*Orçamento_Padrão!E188,F188)</f>
        <v>0</v>
      </c>
    </row>
    <row r="189" spans="8:8">
      <c r="H189" s="49">
        <f>IFERROR(_xlfn.XLOOKUP(D189,[1]LPU!$C:$C,[1]LPU!$D:$D)*Orçamento_Padrão!E189,F189)</f>
        <v>0</v>
      </c>
    </row>
    <row r="190" spans="8:8">
      <c r="H190" s="49">
        <f>IFERROR(_xlfn.XLOOKUP(D190,[1]LPU!$C:$C,[1]LPU!$D:$D)*Orçamento_Padrão!E190,F190)</f>
        <v>0</v>
      </c>
    </row>
    <row r="191" spans="8:8">
      <c r="H191" s="49">
        <f>IFERROR(_xlfn.XLOOKUP(D191,[1]LPU!$C:$C,[1]LPU!$D:$D)*Orçamento_Padrão!E191,F191)</f>
        <v>0</v>
      </c>
    </row>
    <row r="192" spans="8:8">
      <c r="H192" s="49">
        <f>IFERROR(_xlfn.XLOOKUP(D192,[1]LPU!$C:$C,[1]LPU!$D:$D)*Orçamento_Padrão!E192,F192)</f>
        <v>0</v>
      </c>
    </row>
    <row r="193" spans="8:8">
      <c r="H193" s="49">
        <f>IFERROR(_xlfn.XLOOKUP(D193,[1]LPU!$C:$C,[1]LPU!$D:$D)*Orçamento_Padrão!E193,F193)</f>
        <v>0</v>
      </c>
    </row>
    <row r="194" spans="8:8">
      <c r="H194" s="49">
        <f>IFERROR(_xlfn.XLOOKUP(D194,[1]LPU!$C:$C,[1]LPU!$D:$D)*Orçamento_Padrão!E194,F194)</f>
        <v>0</v>
      </c>
    </row>
    <row r="195" spans="8:8">
      <c r="H195" s="49">
        <f>IFERROR(_xlfn.XLOOKUP(D195,[1]LPU!$C:$C,[1]LPU!$D:$D)*Orçamento_Padrão!E195,F195)</f>
        <v>0</v>
      </c>
    </row>
    <row r="196" spans="8:8">
      <c r="H196" s="49">
        <f>IFERROR(_xlfn.XLOOKUP(D196,[1]LPU!$C:$C,[1]LPU!$D:$D)*Orçamento_Padrão!E196,F196)</f>
        <v>0</v>
      </c>
    </row>
    <row r="197" spans="8:8">
      <c r="H197" s="49">
        <f>IFERROR(_xlfn.XLOOKUP(D197,[1]LPU!$C:$C,[1]LPU!$D:$D)*Orçamento_Padrão!E197,F197)</f>
        <v>0</v>
      </c>
    </row>
    <row r="198" spans="8:8">
      <c r="H198" s="49">
        <f>IFERROR(_xlfn.XLOOKUP(D198,[1]LPU!$C:$C,[1]LPU!$D:$D)*Orçamento_Padrão!E198,F198)</f>
        <v>0</v>
      </c>
    </row>
    <row r="199" spans="8:8">
      <c r="H199" s="49">
        <f>IFERROR(_xlfn.XLOOKUP(D199,[1]LPU!$C:$C,[1]LPU!$D:$D)*Orçamento_Padrão!E199,F199)</f>
        <v>0</v>
      </c>
    </row>
    <row r="200" spans="8:8">
      <c r="H200" s="49">
        <f>IFERROR(_xlfn.XLOOKUP(D200,[1]LPU!$C:$C,[1]LPU!$D:$D)*Orçamento_Padrão!E200,F200)</f>
        <v>0</v>
      </c>
    </row>
    <row r="201" spans="8:8">
      <c r="H201" s="49">
        <f>IFERROR(_xlfn.XLOOKUP(D201,[1]LPU!$C:$C,[1]LPU!$D:$D)*Orçamento_Padrão!E201,F201)</f>
        <v>0</v>
      </c>
    </row>
    <row r="202" spans="8:8">
      <c r="H202" s="49">
        <f>IFERROR(_xlfn.XLOOKUP(D202,[1]LPU!$C:$C,[1]LPU!$D:$D)*Orçamento_Padrão!E202,F202)</f>
        <v>0</v>
      </c>
    </row>
    <row r="203" spans="8:8">
      <c r="H203" s="49">
        <f>IFERROR(_xlfn.XLOOKUP(D203,[1]LPU!$C:$C,[1]LPU!$D:$D)*Orçamento_Padrão!E203,F203)</f>
        <v>0</v>
      </c>
    </row>
    <row r="204" spans="8:8">
      <c r="H204" s="49">
        <f>IFERROR(_xlfn.XLOOKUP(D204,[1]LPU!$C:$C,[1]LPU!$D:$D)*Orçamento_Padrão!E204,F204)</f>
        <v>0</v>
      </c>
    </row>
    <row r="205" spans="8:8">
      <c r="H205" s="49">
        <f>IFERROR(_xlfn.XLOOKUP(D205,[1]LPU!$C:$C,[1]LPU!$D:$D)*Orçamento_Padrão!E205,F205)</f>
        <v>0</v>
      </c>
    </row>
    <row r="206" spans="8:8">
      <c r="H206" s="49">
        <f>IFERROR(_xlfn.XLOOKUP(D206,[1]LPU!$C:$C,[1]LPU!$D:$D)*Orçamento_Padrão!E206,F206)</f>
        <v>0</v>
      </c>
    </row>
    <row r="207" spans="8:8">
      <c r="H207" s="49">
        <f>IFERROR(_xlfn.XLOOKUP(D207,LPU!$B:$B,LPU!$C:$C)*Orçamento_Padrão!E207,F207)</f>
        <v>0</v>
      </c>
    </row>
    <row r="208" spans="8:8">
      <c r="H208" s="49">
        <f>IFERROR(_xlfn.XLOOKUP(D208,LPU!$B:$B,LPU!$C:$C)*Orçamento_Padrão!E208,F208)</f>
        <v>0</v>
      </c>
    </row>
    <row r="209" spans="8:8">
      <c r="H209" s="49">
        <f>IFERROR(_xlfn.XLOOKUP(D209,LPU!$B:$B,LPU!$C:$C)*Orçamento_Padrão!E209,F209)</f>
        <v>0</v>
      </c>
    </row>
    <row r="210" spans="8:8">
      <c r="H210" s="49">
        <f>IFERROR(_xlfn.XLOOKUP(D210,LPU!$B:$B,LPU!$C:$C)*Orçamento_Padrão!E210,F210)</f>
        <v>0</v>
      </c>
    </row>
    <row r="211" spans="8:8">
      <c r="H211" s="49">
        <f>IFERROR(_xlfn.XLOOKUP(D211,LPU!$B:$B,LPU!$C:$C)*Orçamento_Padrão!E211,F211)</f>
        <v>0</v>
      </c>
    </row>
    <row r="212" spans="8:8">
      <c r="H212" s="49">
        <f>IFERROR(_xlfn.XLOOKUP(D212,LPU!$B:$B,LPU!$C:$C)*Orçamento_Padrão!E212,F212)</f>
        <v>0</v>
      </c>
    </row>
    <row r="213" spans="8:8">
      <c r="H213" s="49">
        <f>IFERROR(_xlfn.XLOOKUP(D213,LPU!$B:$B,LPU!$C:$C)*Orçamento_Padrão!E213,F213)</f>
        <v>0</v>
      </c>
    </row>
    <row r="214" spans="8:8">
      <c r="H214" s="49">
        <f>IFERROR(_xlfn.XLOOKUP(D214,LPU!$B:$B,LPU!$C:$C)*Orçamento_Padrão!E214,F214)</f>
        <v>0</v>
      </c>
    </row>
    <row r="215" spans="8:8">
      <c r="H215" s="49">
        <f>IFERROR(_xlfn.XLOOKUP(D215,LPU!$B:$B,LPU!$C:$C)*Orçamento_Padrão!E215,F215)</f>
        <v>0</v>
      </c>
    </row>
    <row r="216" spans="8:8">
      <c r="H216" s="49">
        <f>IFERROR(_xlfn.XLOOKUP(D216,LPU!$B:$B,LPU!$C:$C)*Orçamento_Padrão!E216,F216)</f>
        <v>0</v>
      </c>
    </row>
    <row r="217" spans="8:8">
      <c r="H217" s="49">
        <f>IFERROR(_xlfn.XLOOKUP(D217,LPU!$B:$B,LPU!$C:$C)*Orçamento_Padrão!E217,F217)</f>
        <v>0</v>
      </c>
    </row>
    <row r="218" spans="8:8">
      <c r="H218" s="49">
        <f>IFERROR(_xlfn.XLOOKUP(D218,LPU!$B:$B,LPU!$C:$C)*Orçamento_Padrão!E218,F218)</f>
        <v>0</v>
      </c>
    </row>
    <row r="219" spans="8:8">
      <c r="H219" s="49">
        <f>IFERROR(_xlfn.XLOOKUP(D219,LPU!$B:$B,LPU!$C:$C)*Orçamento_Padrão!E219,F219)</f>
        <v>0</v>
      </c>
    </row>
    <row r="220" spans="8:8">
      <c r="H220" s="49">
        <f>IFERROR(_xlfn.XLOOKUP(D220,LPU!$B:$B,LPU!$C:$C)*Orçamento_Padrão!E220,F220)</f>
        <v>0</v>
      </c>
    </row>
    <row r="221" spans="8:8">
      <c r="H221" s="49">
        <f>IFERROR(_xlfn.XLOOKUP(D221,LPU!$B:$B,LPU!$C:$C)*Orçamento_Padrão!E221,F221)</f>
        <v>0</v>
      </c>
    </row>
    <row r="222" spans="8:8">
      <c r="H222" s="49">
        <f>IFERROR(_xlfn.XLOOKUP(D222,LPU!$B:$B,LPU!$C:$C)*Orçamento_Padrão!E222,F222)</f>
        <v>0</v>
      </c>
    </row>
    <row r="223" spans="8:8">
      <c r="H223" s="49">
        <f>IFERROR(_xlfn.XLOOKUP(D223,LPU!$B:$B,LPU!$C:$C)*Orçamento_Padrão!E223,F223)</f>
        <v>0</v>
      </c>
    </row>
    <row r="224" spans="8:8">
      <c r="H224" s="49">
        <f>IFERROR(_xlfn.XLOOKUP(D224,LPU!$B:$B,LPU!$C:$C)*Orçamento_Padrão!E224,F224)</f>
        <v>0</v>
      </c>
    </row>
    <row r="225" spans="8:8">
      <c r="H225" s="49">
        <f>IFERROR(_xlfn.XLOOKUP(D225,LPU!$B:$B,LPU!$C:$C)*Orçamento_Padrão!E225,F225)</f>
        <v>0</v>
      </c>
    </row>
    <row r="226" spans="8:8">
      <c r="H226" s="49">
        <f>IFERROR(_xlfn.XLOOKUP(D226,LPU!$B:$B,LPU!$C:$C)*Orçamento_Padrão!E226,F226)</f>
        <v>0</v>
      </c>
    </row>
    <row r="227" spans="8:8">
      <c r="H227" s="49">
        <f>IFERROR(_xlfn.XLOOKUP(D227,LPU!$B:$B,LPU!$C:$C)*Orçamento_Padrão!E227,F227)</f>
        <v>0</v>
      </c>
    </row>
    <row r="228" spans="8:8">
      <c r="H228" s="49">
        <f>IFERROR(_xlfn.XLOOKUP(D228,LPU!$B:$B,LPU!$C:$C)*Orçamento_Padrão!E228,F228)</f>
        <v>0</v>
      </c>
    </row>
    <row r="229" spans="8:8">
      <c r="H229" s="49">
        <f>IFERROR(_xlfn.XLOOKUP(D229,LPU!$B:$B,LPU!$C:$C)*Orçamento_Padrão!E229,F229)</f>
        <v>0</v>
      </c>
    </row>
    <row r="230" spans="8:8">
      <c r="H230" s="49">
        <f>IFERROR(_xlfn.XLOOKUP(D230,LPU!$B:$B,LPU!$C:$C)*Orçamento_Padrão!E230,F230)</f>
        <v>0</v>
      </c>
    </row>
    <row r="231" spans="8:8">
      <c r="H231" s="49">
        <f>IFERROR(_xlfn.XLOOKUP(D231,LPU!$B:$B,LPU!$C:$C)*Orçamento_Padrão!E231,F231)</f>
        <v>0</v>
      </c>
    </row>
    <row r="232" spans="8:8">
      <c r="H232" s="49">
        <f>IFERROR(_xlfn.XLOOKUP(D232,LPU!$B:$B,LPU!$C:$C)*Orçamento_Padrão!E232,F232)</f>
        <v>0</v>
      </c>
    </row>
    <row r="233" spans="8:8">
      <c r="H233" s="49">
        <f>IFERROR(_xlfn.XLOOKUP(D233,LPU!$B:$B,LPU!$C:$C)*Orçamento_Padrão!E233,F233)</f>
        <v>0</v>
      </c>
    </row>
    <row r="234" spans="8:8">
      <c r="H234" s="49">
        <f>IFERROR(_xlfn.XLOOKUP(D234,LPU!$B:$B,LPU!$C:$C)*Orçamento_Padrão!E234,F234)</f>
        <v>0</v>
      </c>
    </row>
    <row r="235" spans="8:8">
      <c r="H235" s="49">
        <f>IFERROR(_xlfn.XLOOKUP(D235,LPU!$B:$B,LPU!$C:$C)*Orçamento_Padrão!E235,F235)</f>
        <v>0</v>
      </c>
    </row>
    <row r="236" spans="8:8">
      <c r="H236" s="49">
        <f>IFERROR(_xlfn.XLOOKUP(D236,LPU!$B:$B,LPU!$C:$C)*Orçamento_Padrão!E236,F236)</f>
        <v>0</v>
      </c>
    </row>
    <row r="237" spans="8:8">
      <c r="H237" s="49">
        <f>IFERROR(_xlfn.XLOOKUP(D237,LPU!$B:$B,LPU!$C:$C)*Orçamento_Padrão!E237,F237)</f>
        <v>0</v>
      </c>
    </row>
    <row r="238" spans="8:8">
      <c r="H238" s="49">
        <f>IFERROR(_xlfn.XLOOKUP(D238,LPU!$B:$B,LPU!$C:$C)*Orçamento_Padrão!E238,F238)</f>
        <v>0</v>
      </c>
    </row>
    <row r="239" spans="8:8">
      <c r="H239" s="49">
        <f>IFERROR(_xlfn.XLOOKUP(D239,LPU!$B:$B,LPU!$C:$C)*Orçamento_Padrão!E239,F239)</f>
        <v>0</v>
      </c>
    </row>
    <row r="240" spans="8:8">
      <c r="H240" s="49">
        <f>IFERROR(_xlfn.XLOOKUP(D240,LPU!$B:$B,LPU!$C:$C)*Orçamento_Padrão!E240,F240)</f>
        <v>0</v>
      </c>
    </row>
    <row r="241" spans="8:8">
      <c r="H241" s="49">
        <f>IFERROR(_xlfn.XLOOKUP(D241,LPU!$B:$B,LPU!$C:$C)*Orçamento_Padrão!E241,F241)</f>
        <v>0</v>
      </c>
    </row>
    <row r="242" spans="8:8">
      <c r="H242" s="49">
        <f>IFERROR(_xlfn.XLOOKUP(D242,LPU!$B:$B,LPU!$C:$C)*Orçamento_Padrão!E242,F242)</f>
        <v>0</v>
      </c>
    </row>
    <row r="243" spans="8:8">
      <c r="H243" s="49">
        <f>IFERROR(_xlfn.XLOOKUP(D243,LPU!$B:$B,LPU!$C:$C)*Orçamento_Padrão!E243,F243)</f>
        <v>0</v>
      </c>
    </row>
    <row r="244" spans="8:8">
      <c r="H244" s="49">
        <f>IFERROR(_xlfn.XLOOKUP(D244,LPU!$B:$B,LPU!$C:$C)*Orçamento_Padrão!E244,F244)</f>
        <v>0</v>
      </c>
    </row>
    <row r="245" spans="8:8">
      <c r="H245" s="49">
        <f>IFERROR(_xlfn.XLOOKUP(D245,LPU!$B:$B,LPU!$C:$C)*Orçamento_Padrão!E245,F245)</f>
        <v>0</v>
      </c>
    </row>
    <row r="246" spans="8:8">
      <c r="H246" s="49">
        <f>IFERROR(_xlfn.XLOOKUP(D246,LPU!$B:$B,LPU!$C:$C)*Orçamento_Padrão!E246,F246)</f>
        <v>0</v>
      </c>
    </row>
    <row r="247" spans="8:8">
      <c r="H247" s="49">
        <f>IFERROR(_xlfn.XLOOKUP(D247,LPU!$B:$B,LPU!$C:$C)*Orçamento_Padrão!E247,F247)</f>
        <v>0</v>
      </c>
    </row>
  </sheetData>
  <sheetProtection formatCells="0" formatColumns="0" formatRows="0" insertRows="0" deleteRows="0"/>
  <mergeCells count="7">
    <mergeCell ref="E10:F10"/>
    <mergeCell ref="B2:B5"/>
    <mergeCell ref="C2:F5"/>
    <mergeCell ref="B21:F21"/>
    <mergeCell ref="E11:F12"/>
    <mergeCell ref="B18:F18"/>
    <mergeCell ref="B19:F19"/>
  </mergeCells>
  <conditionalFormatting sqref="F24:F57">
    <cfRule type="cellIs" dxfId="0" priority="1" operator="notEqual">
      <formula>H24</formula>
    </cfRule>
  </conditionalFormatting>
  <pageMargins left="0.511811024" right="0.511811024" top="0.78740157499999996" bottom="0.78740157499999996" header="0.31496062000000002" footer="0.31496062000000002"/>
  <pageSetup paperSize="9" scale="56" fitToHeight="0" orientation="portrait" r:id="rId1"/>
  <headerFooter>
    <oddFooter>&amp;C_x000D_&amp;1#&amp;"Calibri"&amp;10&amp;K737373 Classificação da Informação: PÚBLICA</oddFooter>
  </headerFooter>
  <ignoredErrors>
    <ignoredError sqref="B24" unlockedFormula="1"/>
  </ignoredError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1" operator="notEqual" id="{B77F791F-1790-440A-A75C-F08A7232CA23}">
            <xm:f>Detalhamento_Avarias!$K$11</xm:f>
            <x14:dxf>
              <fill>
                <patternFill>
                  <bgColor rgb="FFFF0000"/>
                </patternFill>
              </fill>
            </x14:dxf>
          </x14:cfRule>
          <xm:sqref>E11:F12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C7D55-A385-44EB-98D3-7BC046052C3C}">
  <sheetPr codeName="Planilha3"/>
  <dimension ref="A1:C175"/>
  <sheetViews>
    <sheetView zoomScale="90" zoomScaleNormal="90" workbookViewId="0">
      <selection activeCell="C7" sqref="C7"/>
    </sheetView>
  </sheetViews>
  <sheetFormatPr defaultRowHeight="14.5"/>
  <cols>
    <col min="1" max="1" width="26.7265625" customWidth="1"/>
    <col min="2" max="2" width="53.54296875" bestFit="1" customWidth="1"/>
    <col min="3" max="3" width="26.7265625" style="45" customWidth="1"/>
  </cols>
  <sheetData>
    <row r="1" spans="1:3">
      <c r="A1" s="42" t="s">
        <v>241</v>
      </c>
      <c r="B1" s="24" t="s">
        <v>242</v>
      </c>
      <c r="C1" s="44" t="s">
        <v>18</v>
      </c>
    </row>
    <row r="2" spans="1:3">
      <c r="A2" s="42" t="s">
        <v>82</v>
      </c>
      <c r="B2" s="24" t="s">
        <v>87</v>
      </c>
      <c r="C2" s="44" t="s">
        <v>83</v>
      </c>
    </row>
    <row r="3" spans="1:3">
      <c r="A3" s="42" t="s">
        <v>84</v>
      </c>
      <c r="B3" s="24" t="s">
        <v>88</v>
      </c>
      <c r="C3" s="44" t="s">
        <v>83</v>
      </c>
    </row>
    <row r="4" spans="1:3">
      <c r="A4" s="42" t="s">
        <v>85</v>
      </c>
      <c r="B4" s="24" t="s">
        <v>89</v>
      </c>
      <c r="C4" s="44" t="s">
        <v>83</v>
      </c>
    </row>
    <row r="5" spans="1:3">
      <c r="A5" s="42" t="s">
        <v>86</v>
      </c>
      <c r="B5" s="24" t="s">
        <v>90</v>
      </c>
      <c r="C5" s="44" t="s">
        <v>83</v>
      </c>
    </row>
    <row r="6" spans="1:3">
      <c r="A6" s="42" t="s">
        <v>25</v>
      </c>
      <c r="B6" s="24" t="s">
        <v>91</v>
      </c>
      <c r="C6" s="44" t="s">
        <v>26</v>
      </c>
    </row>
    <row r="7" spans="1:3">
      <c r="A7" s="42" t="s">
        <v>37</v>
      </c>
      <c r="B7" s="43" t="s">
        <v>92</v>
      </c>
      <c r="C7" s="44" t="s">
        <v>38</v>
      </c>
    </row>
    <row r="8" spans="1:3">
      <c r="A8" s="42" t="s">
        <v>37</v>
      </c>
      <c r="B8" s="43" t="s">
        <v>93</v>
      </c>
      <c r="C8" s="44" t="s">
        <v>38</v>
      </c>
    </row>
    <row r="9" spans="1:3">
      <c r="A9" s="42" t="s">
        <v>37</v>
      </c>
      <c r="B9" s="43" t="s">
        <v>94</v>
      </c>
      <c r="C9" s="44" t="s">
        <v>38</v>
      </c>
    </row>
    <row r="10" spans="1:3">
      <c r="A10" s="42" t="s">
        <v>37</v>
      </c>
      <c r="B10" s="43" t="s">
        <v>95</v>
      </c>
      <c r="C10" s="44" t="s">
        <v>38</v>
      </c>
    </row>
    <row r="11" spans="1:3">
      <c r="A11" s="42" t="s">
        <v>37</v>
      </c>
      <c r="B11" s="43" t="s">
        <v>96</v>
      </c>
      <c r="C11" s="44" t="s">
        <v>38</v>
      </c>
    </row>
    <row r="12" spans="1:3">
      <c r="A12" s="42" t="s">
        <v>37</v>
      </c>
      <c r="B12" s="43" t="s">
        <v>97</v>
      </c>
      <c r="C12" s="44" t="s">
        <v>38</v>
      </c>
    </row>
    <row r="13" spans="1:3">
      <c r="A13" s="42" t="s">
        <v>37</v>
      </c>
      <c r="B13" s="43" t="s">
        <v>98</v>
      </c>
      <c r="C13" s="44" t="s">
        <v>38</v>
      </c>
    </row>
    <row r="14" spans="1:3">
      <c r="A14" s="42" t="s">
        <v>37</v>
      </c>
      <c r="B14" s="43" t="s">
        <v>99</v>
      </c>
      <c r="C14" s="44" t="s">
        <v>38</v>
      </c>
    </row>
    <row r="15" spans="1:3">
      <c r="A15" s="42" t="s">
        <v>37</v>
      </c>
      <c r="B15" s="43" t="s">
        <v>100</v>
      </c>
      <c r="C15" s="44" t="s">
        <v>38</v>
      </c>
    </row>
    <row r="16" spans="1:3">
      <c r="A16" s="42" t="s">
        <v>19</v>
      </c>
      <c r="B16" s="24" t="s">
        <v>101</v>
      </c>
      <c r="C16" s="44" t="s">
        <v>20</v>
      </c>
    </row>
    <row r="17" spans="1:3">
      <c r="A17" s="42" t="s">
        <v>80</v>
      </c>
      <c r="B17" s="24" t="s">
        <v>102</v>
      </c>
      <c r="C17" s="44" t="s">
        <v>81</v>
      </c>
    </row>
    <row r="18" spans="1:3">
      <c r="A18" s="42" t="s">
        <v>75</v>
      </c>
      <c r="B18" s="24" t="s">
        <v>103</v>
      </c>
      <c r="C18" s="44" t="s">
        <v>76</v>
      </c>
    </row>
    <row r="19" spans="1:3">
      <c r="A19" s="42" t="s">
        <v>56</v>
      </c>
      <c r="B19" s="43" t="s">
        <v>104</v>
      </c>
      <c r="C19" s="44" t="s">
        <v>57</v>
      </c>
    </row>
    <row r="20" spans="1:3">
      <c r="A20" s="42" t="s">
        <v>56</v>
      </c>
      <c r="B20" s="43" t="s">
        <v>105</v>
      </c>
      <c r="C20" s="44" t="s">
        <v>57</v>
      </c>
    </row>
    <row r="21" spans="1:3">
      <c r="A21" s="42" t="s">
        <v>56</v>
      </c>
      <c r="B21" s="43" t="s">
        <v>106</v>
      </c>
      <c r="C21" s="44" t="s">
        <v>57</v>
      </c>
    </row>
    <row r="22" spans="1:3">
      <c r="A22" s="42" t="s">
        <v>56</v>
      </c>
      <c r="B22" s="43" t="s">
        <v>107</v>
      </c>
      <c r="C22" s="44" t="s">
        <v>57</v>
      </c>
    </row>
    <row r="23" spans="1:3">
      <c r="A23" s="42" t="s">
        <v>56</v>
      </c>
      <c r="B23" s="43" t="s">
        <v>108</v>
      </c>
      <c r="C23" s="44" t="s">
        <v>57</v>
      </c>
    </row>
    <row r="24" spans="1:3">
      <c r="A24" s="42" t="s">
        <v>56</v>
      </c>
      <c r="B24" s="43" t="s">
        <v>109</v>
      </c>
      <c r="C24" s="44" t="s">
        <v>57</v>
      </c>
    </row>
    <row r="25" spans="1:3">
      <c r="A25" s="42" t="s">
        <v>56</v>
      </c>
      <c r="B25" s="43" t="s">
        <v>110</v>
      </c>
      <c r="C25" s="44" t="s">
        <v>57</v>
      </c>
    </row>
    <row r="26" spans="1:3">
      <c r="A26" s="42" t="s">
        <v>56</v>
      </c>
      <c r="B26" s="43" t="s">
        <v>111</v>
      </c>
      <c r="C26" s="44" t="s">
        <v>57</v>
      </c>
    </row>
    <row r="27" spans="1:3">
      <c r="A27" s="42" t="s">
        <v>56</v>
      </c>
      <c r="B27" s="43" t="s">
        <v>112</v>
      </c>
      <c r="C27" s="44" t="s">
        <v>57</v>
      </c>
    </row>
    <row r="28" spans="1:3">
      <c r="A28" s="42" t="s">
        <v>56</v>
      </c>
      <c r="B28" s="43" t="s">
        <v>113</v>
      </c>
      <c r="C28" s="44" t="s">
        <v>57</v>
      </c>
    </row>
    <row r="29" spans="1:3">
      <c r="A29" s="42" t="s">
        <v>60</v>
      </c>
      <c r="B29" s="24" t="s">
        <v>114</v>
      </c>
      <c r="C29" s="44" t="s">
        <v>61</v>
      </c>
    </row>
    <row r="30" spans="1:3">
      <c r="A30" s="42" t="s">
        <v>60</v>
      </c>
      <c r="B30" s="24" t="s">
        <v>115</v>
      </c>
      <c r="C30" s="44" t="s">
        <v>61</v>
      </c>
    </row>
    <row r="31" spans="1:3">
      <c r="A31" s="42" t="s">
        <v>58</v>
      </c>
      <c r="B31" s="43" t="s">
        <v>116</v>
      </c>
      <c r="C31" s="44" t="s">
        <v>59</v>
      </c>
    </row>
    <row r="32" spans="1:3">
      <c r="A32" s="42" t="s">
        <v>58</v>
      </c>
      <c r="B32" s="43" t="s">
        <v>117</v>
      </c>
      <c r="C32" s="44" t="s">
        <v>59</v>
      </c>
    </row>
    <row r="33" spans="1:3">
      <c r="A33" s="42" t="s">
        <v>58</v>
      </c>
      <c r="B33" s="43" t="s">
        <v>118</v>
      </c>
      <c r="C33" s="44" t="s">
        <v>59</v>
      </c>
    </row>
    <row r="34" spans="1:3">
      <c r="A34" s="42" t="s">
        <v>58</v>
      </c>
      <c r="B34" s="43" t="s">
        <v>119</v>
      </c>
      <c r="C34" s="44" t="s">
        <v>59</v>
      </c>
    </row>
    <row r="35" spans="1:3">
      <c r="A35" s="42" t="s">
        <v>58</v>
      </c>
      <c r="B35" s="43" t="s">
        <v>120</v>
      </c>
      <c r="C35" s="44" t="s">
        <v>59</v>
      </c>
    </row>
    <row r="36" spans="1:3">
      <c r="A36" s="42" t="s">
        <v>58</v>
      </c>
      <c r="B36" s="43" t="s">
        <v>121</v>
      </c>
      <c r="C36" s="44" t="s">
        <v>59</v>
      </c>
    </row>
    <row r="37" spans="1:3">
      <c r="A37" s="42" t="s">
        <v>53</v>
      </c>
      <c r="B37" s="24" t="s">
        <v>122</v>
      </c>
      <c r="C37" s="44" t="s">
        <v>54</v>
      </c>
    </row>
    <row r="38" spans="1:3">
      <c r="A38" s="42" t="s">
        <v>78</v>
      </c>
      <c r="B38" s="43" t="s">
        <v>123</v>
      </c>
      <c r="C38" s="44" t="s">
        <v>54</v>
      </c>
    </row>
    <row r="39" spans="1:3">
      <c r="A39" s="42" t="s">
        <v>78</v>
      </c>
      <c r="B39" s="43" t="s">
        <v>124</v>
      </c>
      <c r="C39" s="44" t="s">
        <v>54</v>
      </c>
    </row>
    <row r="40" spans="1:3">
      <c r="A40" s="42" t="s">
        <v>78</v>
      </c>
      <c r="B40" s="43" t="s">
        <v>125</v>
      </c>
      <c r="C40" s="44" t="s">
        <v>54</v>
      </c>
    </row>
    <row r="41" spans="1:3">
      <c r="A41" s="42" t="s">
        <v>78</v>
      </c>
      <c r="B41" s="43" t="s">
        <v>126</v>
      </c>
      <c r="C41" s="44" t="s">
        <v>54</v>
      </c>
    </row>
    <row r="42" spans="1:3">
      <c r="A42" s="42" t="s">
        <v>78</v>
      </c>
      <c r="B42" s="43" t="s">
        <v>127</v>
      </c>
      <c r="C42" s="44" t="s">
        <v>54</v>
      </c>
    </row>
    <row r="43" spans="1:3">
      <c r="A43" s="42" t="s">
        <v>78</v>
      </c>
      <c r="B43" s="43" t="s">
        <v>128</v>
      </c>
      <c r="C43" s="44" t="s">
        <v>54</v>
      </c>
    </row>
    <row r="44" spans="1:3">
      <c r="A44" s="42" t="s">
        <v>78</v>
      </c>
      <c r="B44" s="43" t="s">
        <v>129</v>
      </c>
      <c r="C44" s="44" t="s">
        <v>54</v>
      </c>
    </row>
    <row r="45" spans="1:3">
      <c r="A45" s="42" t="s">
        <v>78</v>
      </c>
      <c r="B45" s="43" t="s">
        <v>130</v>
      </c>
      <c r="C45" s="44" t="s">
        <v>54</v>
      </c>
    </row>
    <row r="46" spans="1:3">
      <c r="A46" s="42" t="s">
        <v>78</v>
      </c>
      <c r="B46" s="43" t="s">
        <v>131</v>
      </c>
      <c r="C46" s="44" t="s">
        <v>54</v>
      </c>
    </row>
    <row r="47" spans="1:3">
      <c r="A47" s="42" t="s">
        <v>78</v>
      </c>
      <c r="B47" s="43" t="s">
        <v>132</v>
      </c>
      <c r="C47" s="44" t="s">
        <v>54</v>
      </c>
    </row>
    <row r="48" spans="1:3">
      <c r="A48" s="42" t="s">
        <v>78</v>
      </c>
      <c r="B48" s="43" t="s">
        <v>133</v>
      </c>
      <c r="C48" s="44" t="s">
        <v>54</v>
      </c>
    </row>
    <row r="49" spans="1:3">
      <c r="A49" s="42" t="s">
        <v>78</v>
      </c>
      <c r="B49" s="43" t="s">
        <v>134</v>
      </c>
      <c r="C49" s="44" t="s">
        <v>54</v>
      </c>
    </row>
    <row r="50" spans="1:3">
      <c r="A50" s="42" t="s">
        <v>45</v>
      </c>
      <c r="B50" s="43" t="s">
        <v>135</v>
      </c>
      <c r="C50" s="44" t="s">
        <v>46</v>
      </c>
    </row>
    <row r="51" spans="1:3">
      <c r="A51" s="42" t="s">
        <v>45</v>
      </c>
      <c r="B51" s="43" t="s">
        <v>136</v>
      </c>
      <c r="C51" s="44" t="s">
        <v>46</v>
      </c>
    </row>
    <row r="52" spans="1:3">
      <c r="A52" s="42" t="s">
        <v>45</v>
      </c>
      <c r="B52" s="43" t="s">
        <v>137</v>
      </c>
      <c r="C52" s="44" t="s">
        <v>46</v>
      </c>
    </row>
    <row r="53" spans="1:3">
      <c r="A53" s="42" t="s">
        <v>45</v>
      </c>
      <c r="B53" s="43" t="s">
        <v>138</v>
      </c>
      <c r="C53" s="44" t="s">
        <v>46</v>
      </c>
    </row>
    <row r="54" spans="1:3">
      <c r="A54" s="42" t="s">
        <v>45</v>
      </c>
      <c r="B54" s="43" t="s">
        <v>139</v>
      </c>
      <c r="C54" s="44" t="s">
        <v>46</v>
      </c>
    </row>
    <row r="55" spans="1:3">
      <c r="A55" s="42" t="s">
        <v>45</v>
      </c>
      <c r="B55" s="43" t="s">
        <v>140</v>
      </c>
      <c r="C55" s="44" t="s">
        <v>46</v>
      </c>
    </row>
    <row r="56" spans="1:3">
      <c r="A56" s="42" t="s">
        <v>45</v>
      </c>
      <c r="B56" s="43" t="s">
        <v>141</v>
      </c>
      <c r="C56" s="44" t="s">
        <v>46</v>
      </c>
    </row>
    <row r="57" spans="1:3">
      <c r="A57" s="42" t="s">
        <v>45</v>
      </c>
      <c r="B57" s="43" t="s">
        <v>142</v>
      </c>
      <c r="C57" s="44" t="s">
        <v>46</v>
      </c>
    </row>
    <row r="58" spans="1:3">
      <c r="A58" s="42" t="s">
        <v>45</v>
      </c>
      <c r="B58" s="43" t="s">
        <v>143</v>
      </c>
      <c r="C58" s="44" t="s">
        <v>46</v>
      </c>
    </row>
    <row r="59" spans="1:3">
      <c r="A59" s="42" t="s">
        <v>45</v>
      </c>
      <c r="B59" s="43" t="s">
        <v>144</v>
      </c>
      <c r="C59" s="44" t="s">
        <v>46</v>
      </c>
    </row>
    <row r="60" spans="1:3">
      <c r="A60" s="42" t="s">
        <v>69</v>
      </c>
      <c r="B60" s="43" t="s">
        <v>145</v>
      </c>
      <c r="C60" s="44" t="s">
        <v>46</v>
      </c>
    </row>
    <row r="61" spans="1:3">
      <c r="A61" s="42" t="s">
        <v>69</v>
      </c>
      <c r="B61" s="43" t="s">
        <v>146</v>
      </c>
      <c r="C61" s="44" t="s">
        <v>46</v>
      </c>
    </row>
    <row r="62" spans="1:3">
      <c r="A62" s="42" t="s">
        <v>69</v>
      </c>
      <c r="B62" s="43" t="s">
        <v>147</v>
      </c>
      <c r="C62" s="44" t="s">
        <v>46</v>
      </c>
    </row>
    <row r="63" spans="1:3">
      <c r="A63" s="42" t="s">
        <v>69</v>
      </c>
      <c r="B63" s="43" t="s">
        <v>148</v>
      </c>
      <c r="C63" s="44" t="s">
        <v>46</v>
      </c>
    </row>
    <row r="64" spans="1:3">
      <c r="A64" s="42" t="s">
        <v>69</v>
      </c>
      <c r="B64" s="43" t="s">
        <v>149</v>
      </c>
      <c r="C64" s="44" t="s">
        <v>46</v>
      </c>
    </row>
    <row r="65" spans="1:3">
      <c r="A65" s="42" t="s">
        <v>69</v>
      </c>
      <c r="B65" s="43" t="s">
        <v>150</v>
      </c>
      <c r="C65" s="44" t="s">
        <v>46</v>
      </c>
    </row>
    <row r="66" spans="1:3">
      <c r="A66" s="42" t="s">
        <v>49</v>
      </c>
      <c r="B66" s="24" t="s">
        <v>151</v>
      </c>
      <c r="C66" s="44" t="s">
        <v>50</v>
      </c>
    </row>
    <row r="67" spans="1:3">
      <c r="A67" s="42" t="s">
        <v>49</v>
      </c>
      <c r="B67" s="24" t="s">
        <v>152</v>
      </c>
      <c r="C67" s="44" t="s">
        <v>50</v>
      </c>
    </row>
    <row r="68" spans="1:3">
      <c r="A68" s="42" t="s">
        <v>47</v>
      </c>
      <c r="B68" s="43" t="s">
        <v>153</v>
      </c>
      <c r="C68" s="44" t="s">
        <v>48</v>
      </c>
    </row>
    <row r="69" spans="1:3">
      <c r="A69" s="42" t="s">
        <v>47</v>
      </c>
      <c r="B69" s="43" t="s">
        <v>154</v>
      </c>
      <c r="C69" s="44" t="s">
        <v>48</v>
      </c>
    </row>
    <row r="70" spans="1:3">
      <c r="A70" s="42" t="s">
        <v>47</v>
      </c>
      <c r="B70" s="43" t="s">
        <v>155</v>
      </c>
      <c r="C70" s="44" t="s">
        <v>48</v>
      </c>
    </row>
    <row r="71" spans="1:3">
      <c r="A71" s="42" t="s">
        <v>47</v>
      </c>
      <c r="B71" s="43" t="s">
        <v>156</v>
      </c>
      <c r="C71" s="44" t="s">
        <v>48</v>
      </c>
    </row>
    <row r="72" spans="1:3">
      <c r="A72" s="42" t="s">
        <v>47</v>
      </c>
      <c r="B72" s="43" t="s">
        <v>157</v>
      </c>
      <c r="C72" s="44" t="s">
        <v>48</v>
      </c>
    </row>
    <row r="73" spans="1:3">
      <c r="A73" s="42" t="s">
        <v>47</v>
      </c>
      <c r="B73" s="43" t="s">
        <v>158</v>
      </c>
      <c r="C73" s="44" t="s">
        <v>48</v>
      </c>
    </row>
    <row r="74" spans="1:3">
      <c r="A74" s="42" t="s">
        <v>64</v>
      </c>
      <c r="B74" s="43" t="s">
        <v>159</v>
      </c>
      <c r="C74" s="44" t="s">
        <v>65</v>
      </c>
    </row>
    <row r="75" spans="1:3">
      <c r="A75" s="42" t="s">
        <v>64</v>
      </c>
      <c r="B75" s="43" t="s">
        <v>160</v>
      </c>
      <c r="C75" s="44" t="s">
        <v>65</v>
      </c>
    </row>
    <row r="76" spans="1:3">
      <c r="A76" s="42" t="s">
        <v>62</v>
      </c>
      <c r="B76" s="24" t="s">
        <v>161</v>
      </c>
      <c r="C76" s="44" t="s">
        <v>63</v>
      </c>
    </row>
    <row r="77" spans="1:3">
      <c r="A77" s="42" t="s">
        <v>62</v>
      </c>
      <c r="B77" s="24" t="s">
        <v>162</v>
      </c>
      <c r="C77" s="44" t="s">
        <v>63</v>
      </c>
    </row>
    <row r="78" spans="1:3">
      <c r="A78" s="42" t="s">
        <v>163</v>
      </c>
      <c r="B78" s="24" t="s">
        <v>164</v>
      </c>
      <c r="C78" s="44" t="s">
        <v>30</v>
      </c>
    </row>
    <row r="79" spans="1:3">
      <c r="A79" s="42" t="s">
        <v>29</v>
      </c>
      <c r="B79" s="24" t="s">
        <v>165</v>
      </c>
      <c r="C79" s="44">
        <v>400</v>
      </c>
    </row>
    <row r="80" spans="1:3">
      <c r="A80" s="42" t="s">
        <v>55</v>
      </c>
      <c r="B80" s="24" t="s">
        <v>122</v>
      </c>
      <c r="C80" s="44" t="s">
        <v>30</v>
      </c>
    </row>
    <row r="81" spans="1:3">
      <c r="A81" s="42" t="s">
        <v>42</v>
      </c>
      <c r="B81" s="43" t="s">
        <v>166</v>
      </c>
      <c r="C81" s="44" t="s">
        <v>43</v>
      </c>
    </row>
    <row r="82" spans="1:3">
      <c r="A82" s="42" t="s">
        <v>42</v>
      </c>
      <c r="B82" s="43" t="s">
        <v>167</v>
      </c>
      <c r="C82" s="44" t="s">
        <v>43</v>
      </c>
    </row>
    <row r="83" spans="1:3">
      <c r="A83" s="42" t="s">
        <v>42</v>
      </c>
      <c r="B83" s="43" t="s">
        <v>168</v>
      </c>
      <c r="C83" s="44" t="s">
        <v>43</v>
      </c>
    </row>
    <row r="84" spans="1:3">
      <c r="A84" s="42" t="s">
        <v>42</v>
      </c>
      <c r="B84" s="43" t="s">
        <v>169</v>
      </c>
      <c r="C84" s="44" t="s">
        <v>43</v>
      </c>
    </row>
    <row r="85" spans="1:3">
      <c r="A85" s="42" t="s">
        <v>42</v>
      </c>
      <c r="B85" s="43" t="s">
        <v>170</v>
      </c>
      <c r="C85" s="44" t="s">
        <v>43</v>
      </c>
    </row>
    <row r="86" spans="1:3">
      <c r="A86" s="42" t="s">
        <v>42</v>
      </c>
      <c r="B86" s="43" t="s">
        <v>171</v>
      </c>
      <c r="C86" s="44" t="s">
        <v>43</v>
      </c>
    </row>
    <row r="87" spans="1:3">
      <c r="A87" s="42" t="s">
        <v>42</v>
      </c>
      <c r="B87" s="43" t="s">
        <v>172</v>
      </c>
      <c r="C87" s="44" t="s">
        <v>43</v>
      </c>
    </row>
    <row r="88" spans="1:3">
      <c r="A88" s="42" t="s">
        <v>42</v>
      </c>
      <c r="B88" s="43" t="s">
        <v>173</v>
      </c>
      <c r="C88" s="44" t="s">
        <v>43</v>
      </c>
    </row>
    <row r="89" spans="1:3">
      <c r="A89" s="42" t="s">
        <v>42</v>
      </c>
      <c r="B89" s="43" t="s">
        <v>174</v>
      </c>
      <c r="C89" s="44" t="s">
        <v>43</v>
      </c>
    </row>
    <row r="90" spans="1:3">
      <c r="A90" s="42" t="s">
        <v>42</v>
      </c>
      <c r="B90" s="43" t="s">
        <v>175</v>
      </c>
      <c r="C90" s="44" t="s">
        <v>43</v>
      </c>
    </row>
    <row r="91" spans="1:3">
      <c r="A91" s="42" t="s">
        <v>42</v>
      </c>
      <c r="B91" s="43" t="s">
        <v>176</v>
      </c>
      <c r="C91" s="44" t="s">
        <v>43</v>
      </c>
    </row>
    <row r="92" spans="1:3">
      <c r="A92" s="42" t="s">
        <v>42</v>
      </c>
      <c r="B92" s="43" t="s">
        <v>177</v>
      </c>
      <c r="C92" s="44" t="s">
        <v>43</v>
      </c>
    </row>
    <row r="93" spans="1:3">
      <c r="A93" s="42" t="s">
        <v>42</v>
      </c>
      <c r="B93" s="43" t="s">
        <v>178</v>
      </c>
      <c r="C93" s="44" t="s">
        <v>43</v>
      </c>
    </row>
    <row r="94" spans="1:3">
      <c r="A94" s="42" t="s">
        <v>42</v>
      </c>
      <c r="B94" s="43" t="s">
        <v>179</v>
      </c>
      <c r="C94" s="44" t="s">
        <v>43</v>
      </c>
    </row>
    <row r="95" spans="1:3">
      <c r="A95" s="42" t="s">
        <v>42</v>
      </c>
      <c r="B95" s="43" t="s">
        <v>180</v>
      </c>
      <c r="C95" s="44" t="s">
        <v>43</v>
      </c>
    </row>
    <row r="96" spans="1:3">
      <c r="A96" s="42" t="s">
        <v>42</v>
      </c>
      <c r="B96" s="43" t="s">
        <v>181</v>
      </c>
      <c r="C96" s="44" t="s">
        <v>43</v>
      </c>
    </row>
    <row r="97" spans="1:3">
      <c r="A97" s="42" t="s">
        <v>42</v>
      </c>
      <c r="B97" s="43" t="s">
        <v>182</v>
      </c>
      <c r="C97" s="44" t="s">
        <v>43</v>
      </c>
    </row>
    <row r="98" spans="1:3">
      <c r="A98" s="42" t="s">
        <v>72</v>
      </c>
      <c r="B98" s="43" t="s">
        <v>183</v>
      </c>
      <c r="C98" s="44" t="s">
        <v>43</v>
      </c>
    </row>
    <row r="99" spans="1:3">
      <c r="A99" s="42" t="s">
        <v>72</v>
      </c>
      <c r="B99" s="43" t="s">
        <v>184</v>
      </c>
      <c r="C99" s="44" t="s">
        <v>43</v>
      </c>
    </row>
    <row r="100" spans="1:3">
      <c r="A100" s="42" t="s">
        <v>72</v>
      </c>
      <c r="B100" s="43" t="s">
        <v>185</v>
      </c>
      <c r="C100" s="44" t="s">
        <v>43</v>
      </c>
    </row>
    <row r="101" spans="1:3">
      <c r="A101" s="42" t="s">
        <v>72</v>
      </c>
      <c r="B101" s="43" t="s">
        <v>186</v>
      </c>
      <c r="C101" s="44" t="s">
        <v>43</v>
      </c>
    </row>
    <row r="102" spans="1:3">
      <c r="A102" s="42" t="s">
        <v>66</v>
      </c>
      <c r="B102" s="43" t="s">
        <v>187</v>
      </c>
      <c r="C102" s="44" t="s">
        <v>67</v>
      </c>
    </row>
    <row r="103" spans="1:3">
      <c r="A103" s="42" t="s">
        <v>66</v>
      </c>
      <c r="B103" s="43" t="s">
        <v>188</v>
      </c>
      <c r="C103" s="44" t="s">
        <v>67</v>
      </c>
    </row>
    <row r="104" spans="1:3">
      <c r="A104" s="42" t="s">
        <v>66</v>
      </c>
      <c r="B104" s="43" t="s">
        <v>189</v>
      </c>
      <c r="C104" s="44" t="s">
        <v>67</v>
      </c>
    </row>
    <row r="105" spans="1:3">
      <c r="A105" s="42" t="s">
        <v>66</v>
      </c>
      <c r="B105" s="43" t="s">
        <v>190</v>
      </c>
      <c r="C105" s="44" t="s">
        <v>67</v>
      </c>
    </row>
    <row r="106" spans="1:3">
      <c r="A106" s="42" t="s">
        <v>66</v>
      </c>
      <c r="B106" s="43" t="s">
        <v>191</v>
      </c>
      <c r="C106" s="44" t="s">
        <v>67</v>
      </c>
    </row>
    <row r="107" spans="1:3">
      <c r="A107" s="42" t="s">
        <v>66</v>
      </c>
      <c r="B107" s="43" t="s">
        <v>192</v>
      </c>
      <c r="C107" s="44" t="s">
        <v>67</v>
      </c>
    </row>
    <row r="108" spans="1:3">
      <c r="A108" s="42" t="s">
        <v>66</v>
      </c>
      <c r="B108" s="43" t="s">
        <v>193</v>
      </c>
      <c r="C108" s="44" t="s">
        <v>67</v>
      </c>
    </row>
    <row r="109" spans="1:3">
      <c r="A109" s="42" t="s">
        <v>66</v>
      </c>
      <c r="B109" s="43" t="s">
        <v>194</v>
      </c>
      <c r="C109" s="44" t="s">
        <v>67</v>
      </c>
    </row>
    <row r="110" spans="1:3">
      <c r="A110" s="42" t="s">
        <v>66</v>
      </c>
      <c r="B110" s="43" t="s">
        <v>195</v>
      </c>
      <c r="C110" s="44" t="s">
        <v>67</v>
      </c>
    </row>
    <row r="111" spans="1:3">
      <c r="A111" s="42" t="s">
        <v>33</v>
      </c>
      <c r="B111" s="24" t="s">
        <v>90</v>
      </c>
      <c r="C111" s="44" t="s">
        <v>34</v>
      </c>
    </row>
    <row r="112" spans="1:3">
      <c r="A112" s="42" t="s">
        <v>41</v>
      </c>
      <c r="B112" s="24" t="s">
        <v>196</v>
      </c>
      <c r="C112" s="44" t="s">
        <v>34</v>
      </c>
    </row>
    <row r="113" spans="1:3">
      <c r="A113" s="42" t="s">
        <v>41</v>
      </c>
      <c r="B113" s="24" t="s">
        <v>197</v>
      </c>
      <c r="C113" s="44" t="s">
        <v>34</v>
      </c>
    </row>
    <row r="114" spans="1:3">
      <c r="A114" s="42" t="s">
        <v>41</v>
      </c>
      <c r="B114" s="24" t="s">
        <v>198</v>
      </c>
      <c r="C114" s="44" t="s">
        <v>34</v>
      </c>
    </row>
    <row r="115" spans="1:3">
      <c r="A115" s="42" t="s">
        <v>41</v>
      </c>
      <c r="B115" s="24" t="s">
        <v>199</v>
      </c>
      <c r="C115" s="44" t="s">
        <v>34</v>
      </c>
    </row>
    <row r="116" spans="1:3">
      <c r="A116" s="42" t="s">
        <v>41</v>
      </c>
      <c r="B116" s="24" t="s">
        <v>200</v>
      </c>
      <c r="C116" s="44" t="s">
        <v>34</v>
      </c>
    </row>
    <row r="117" spans="1:3">
      <c r="A117" s="42" t="s">
        <v>41</v>
      </c>
      <c r="B117" s="24" t="s">
        <v>201</v>
      </c>
      <c r="C117" s="44" t="s">
        <v>34</v>
      </c>
    </row>
    <row r="118" spans="1:3">
      <c r="A118" s="42" t="s">
        <v>41</v>
      </c>
      <c r="B118" s="24" t="s">
        <v>202</v>
      </c>
      <c r="C118" s="44" t="s">
        <v>34</v>
      </c>
    </row>
    <row r="119" spans="1:3">
      <c r="A119" s="42" t="s">
        <v>27</v>
      </c>
      <c r="B119" s="24" t="s">
        <v>203</v>
      </c>
      <c r="C119" s="44" t="s">
        <v>28</v>
      </c>
    </row>
    <row r="120" spans="1:3">
      <c r="A120" s="42" t="s">
        <v>27</v>
      </c>
      <c r="B120" s="42" t="s">
        <v>204</v>
      </c>
      <c r="C120" s="44" t="s">
        <v>28</v>
      </c>
    </row>
    <row r="121" spans="1:3">
      <c r="A121" s="42" t="s">
        <v>79</v>
      </c>
      <c r="B121" s="42" t="s">
        <v>205</v>
      </c>
      <c r="C121" s="44" t="s">
        <v>28</v>
      </c>
    </row>
    <row r="122" spans="1:3">
      <c r="A122" s="42" t="s">
        <v>79</v>
      </c>
      <c r="B122" s="42" t="s">
        <v>206</v>
      </c>
      <c r="C122" s="44" t="s">
        <v>28</v>
      </c>
    </row>
    <row r="123" spans="1:3">
      <c r="A123" s="42" t="s">
        <v>35</v>
      </c>
      <c r="B123" s="42" t="s">
        <v>207</v>
      </c>
      <c r="C123" s="44" t="s">
        <v>36</v>
      </c>
    </row>
    <row r="124" spans="1:3">
      <c r="A124" s="42" t="s">
        <v>39</v>
      </c>
      <c r="B124" t="s">
        <v>208</v>
      </c>
      <c r="C124" s="44" t="s">
        <v>40</v>
      </c>
    </row>
    <row r="125" spans="1:3">
      <c r="A125" s="42" t="s">
        <v>39</v>
      </c>
      <c r="B125" t="s">
        <v>209</v>
      </c>
      <c r="C125" s="44" t="s">
        <v>40</v>
      </c>
    </row>
    <row r="126" spans="1:3">
      <c r="A126" s="42" t="s">
        <v>39</v>
      </c>
      <c r="B126" t="s">
        <v>210</v>
      </c>
      <c r="C126" s="44" t="s">
        <v>40</v>
      </c>
    </row>
    <row r="127" spans="1:3">
      <c r="A127" s="42" t="s">
        <v>39</v>
      </c>
      <c r="B127" t="s">
        <v>211</v>
      </c>
      <c r="C127" s="44" t="s">
        <v>40</v>
      </c>
    </row>
    <row r="128" spans="1:3">
      <c r="A128" s="42" t="s">
        <v>39</v>
      </c>
      <c r="B128" t="s">
        <v>212</v>
      </c>
      <c r="C128" s="44" t="s">
        <v>40</v>
      </c>
    </row>
    <row r="129" spans="1:3">
      <c r="A129" s="42" t="s">
        <v>39</v>
      </c>
      <c r="B129" t="s">
        <v>213</v>
      </c>
      <c r="C129" s="44" t="s">
        <v>40</v>
      </c>
    </row>
    <row r="130" spans="1:3">
      <c r="A130" s="42" t="s">
        <v>39</v>
      </c>
      <c r="B130" t="s">
        <v>214</v>
      </c>
      <c r="C130" s="44" t="s">
        <v>40</v>
      </c>
    </row>
    <row r="131" spans="1:3">
      <c r="A131" s="42" t="s">
        <v>39</v>
      </c>
      <c r="B131" t="s">
        <v>215</v>
      </c>
      <c r="C131" s="44" t="s">
        <v>40</v>
      </c>
    </row>
    <row r="132" spans="1:3">
      <c r="A132" s="42" t="s">
        <v>39</v>
      </c>
      <c r="B132" t="s">
        <v>216</v>
      </c>
      <c r="C132" s="44" t="s">
        <v>40</v>
      </c>
    </row>
    <row r="133" spans="1:3">
      <c r="A133" s="42" t="s">
        <v>39</v>
      </c>
      <c r="B133" t="s">
        <v>217</v>
      </c>
      <c r="C133" s="44" t="s">
        <v>40</v>
      </c>
    </row>
    <row r="134" spans="1:3">
      <c r="A134" s="42" t="s">
        <v>39</v>
      </c>
      <c r="B134" t="s">
        <v>218</v>
      </c>
      <c r="C134" s="44" t="s">
        <v>40</v>
      </c>
    </row>
    <row r="135" spans="1:3">
      <c r="A135" s="42" t="s">
        <v>39</v>
      </c>
      <c r="B135" t="s">
        <v>219</v>
      </c>
      <c r="C135" s="44" t="s">
        <v>40</v>
      </c>
    </row>
    <row r="136" spans="1:3">
      <c r="A136" s="42" t="s">
        <v>39</v>
      </c>
      <c r="B136" t="s">
        <v>220</v>
      </c>
      <c r="C136" s="44" t="s">
        <v>40</v>
      </c>
    </row>
    <row r="137" spans="1:3">
      <c r="A137" s="42" t="s">
        <v>39</v>
      </c>
      <c r="B137" t="s">
        <v>221</v>
      </c>
      <c r="C137" s="44" t="s">
        <v>40</v>
      </c>
    </row>
    <row r="138" spans="1:3">
      <c r="A138" s="42" t="s">
        <v>39</v>
      </c>
      <c r="B138" t="s">
        <v>222</v>
      </c>
      <c r="C138" s="44"/>
    </row>
    <row r="139" spans="1:3">
      <c r="A139" s="42" t="s">
        <v>39</v>
      </c>
      <c r="B139" t="s">
        <v>223</v>
      </c>
      <c r="C139" s="44"/>
    </row>
    <row r="140" spans="1:3">
      <c r="A140" s="42" t="s">
        <v>39</v>
      </c>
      <c r="B140" t="s">
        <v>224</v>
      </c>
      <c r="C140" s="44" t="s">
        <v>40</v>
      </c>
    </row>
    <row r="141" spans="1:3">
      <c r="A141" s="42" t="s">
        <v>39</v>
      </c>
      <c r="B141" t="s">
        <v>225</v>
      </c>
      <c r="C141" s="44" t="s">
        <v>40</v>
      </c>
    </row>
    <row r="142" spans="1:3">
      <c r="A142" s="42" t="s">
        <v>39</v>
      </c>
      <c r="B142" t="s">
        <v>226</v>
      </c>
      <c r="C142" s="44" t="s">
        <v>40</v>
      </c>
    </row>
    <row r="143" spans="1:3">
      <c r="A143" s="42" t="s">
        <v>39</v>
      </c>
      <c r="B143" t="s">
        <v>227</v>
      </c>
      <c r="C143" s="44" t="s">
        <v>40</v>
      </c>
    </row>
    <row r="144" spans="1:3">
      <c r="A144" s="42" t="s">
        <v>44</v>
      </c>
      <c r="B144" s="23" t="s">
        <v>166</v>
      </c>
      <c r="C144" s="44" t="s">
        <v>40</v>
      </c>
    </row>
    <row r="145" spans="1:3">
      <c r="A145" s="42" t="s">
        <v>44</v>
      </c>
      <c r="B145" s="23" t="s">
        <v>167</v>
      </c>
      <c r="C145" s="44" t="s">
        <v>40</v>
      </c>
    </row>
    <row r="146" spans="1:3">
      <c r="A146" s="42" t="s">
        <v>44</v>
      </c>
      <c r="B146" s="23" t="s">
        <v>168</v>
      </c>
      <c r="C146" s="44" t="s">
        <v>40</v>
      </c>
    </row>
    <row r="147" spans="1:3">
      <c r="A147" s="42" t="s">
        <v>44</v>
      </c>
      <c r="B147" s="23" t="s">
        <v>169</v>
      </c>
      <c r="C147" s="44" t="s">
        <v>40</v>
      </c>
    </row>
    <row r="148" spans="1:3">
      <c r="A148" s="42" t="s">
        <v>44</v>
      </c>
      <c r="B148" s="23" t="s">
        <v>170</v>
      </c>
      <c r="C148" s="44" t="s">
        <v>40</v>
      </c>
    </row>
    <row r="149" spans="1:3">
      <c r="A149" s="42" t="s">
        <v>44</v>
      </c>
      <c r="B149" s="23" t="s">
        <v>171</v>
      </c>
      <c r="C149" s="44" t="s">
        <v>40</v>
      </c>
    </row>
    <row r="150" spans="1:3">
      <c r="A150" s="42" t="s">
        <v>44</v>
      </c>
      <c r="B150" s="23" t="s">
        <v>172</v>
      </c>
      <c r="C150" s="44" t="s">
        <v>40</v>
      </c>
    </row>
    <row r="151" spans="1:3">
      <c r="A151" s="42" t="s">
        <v>44</v>
      </c>
      <c r="B151" s="23" t="s">
        <v>173</v>
      </c>
      <c r="C151" s="44" t="s">
        <v>40</v>
      </c>
    </row>
    <row r="152" spans="1:3">
      <c r="A152" s="42" t="s">
        <v>44</v>
      </c>
      <c r="B152" s="23" t="s">
        <v>174</v>
      </c>
      <c r="C152" s="44" t="s">
        <v>40</v>
      </c>
    </row>
    <row r="153" spans="1:3">
      <c r="A153" s="42" t="s">
        <v>44</v>
      </c>
      <c r="B153" s="23" t="s">
        <v>175</v>
      </c>
      <c r="C153" s="44" t="s">
        <v>40</v>
      </c>
    </row>
    <row r="154" spans="1:3">
      <c r="A154" s="42" t="s">
        <v>44</v>
      </c>
      <c r="B154" s="23" t="s">
        <v>176</v>
      </c>
      <c r="C154" s="44" t="s">
        <v>40</v>
      </c>
    </row>
    <row r="155" spans="1:3">
      <c r="A155" s="42" t="s">
        <v>44</v>
      </c>
      <c r="B155" s="23" t="s">
        <v>177</v>
      </c>
      <c r="C155" s="44" t="s">
        <v>40</v>
      </c>
    </row>
    <row r="156" spans="1:3">
      <c r="A156" s="42" t="s">
        <v>44</v>
      </c>
      <c r="B156" s="23" t="s">
        <v>178</v>
      </c>
      <c r="C156" s="44" t="s">
        <v>40</v>
      </c>
    </row>
    <row r="157" spans="1:3">
      <c r="A157" s="42" t="s">
        <v>44</v>
      </c>
      <c r="B157" s="23" t="s">
        <v>179</v>
      </c>
      <c r="C157" s="44" t="s">
        <v>40</v>
      </c>
    </row>
    <row r="158" spans="1:3">
      <c r="A158" s="42" t="s">
        <v>44</v>
      </c>
      <c r="B158" s="23" t="s">
        <v>180</v>
      </c>
      <c r="C158" s="44" t="s">
        <v>40</v>
      </c>
    </row>
    <row r="159" spans="1:3">
      <c r="A159" s="42" t="s">
        <v>44</v>
      </c>
      <c r="B159" s="23" t="s">
        <v>181</v>
      </c>
      <c r="C159" s="44" t="s">
        <v>40</v>
      </c>
    </row>
    <row r="160" spans="1:3">
      <c r="A160" s="42" t="s">
        <v>44</v>
      </c>
      <c r="B160" s="23" t="s">
        <v>182</v>
      </c>
      <c r="C160" s="44" t="s">
        <v>40</v>
      </c>
    </row>
    <row r="161" spans="1:3">
      <c r="A161" s="42" t="s">
        <v>51</v>
      </c>
      <c r="B161" s="42" t="s">
        <v>228</v>
      </c>
      <c r="C161" s="44" t="s">
        <v>40</v>
      </c>
    </row>
    <row r="162" spans="1:3">
      <c r="A162" s="42" t="s">
        <v>52</v>
      </c>
      <c r="B162" s="42" t="s">
        <v>229</v>
      </c>
      <c r="C162" s="44" t="s">
        <v>40</v>
      </c>
    </row>
    <row r="163" spans="1:3">
      <c r="A163" s="42" t="s">
        <v>77</v>
      </c>
      <c r="B163" s="42" t="s">
        <v>230</v>
      </c>
      <c r="C163" s="44" t="s">
        <v>36</v>
      </c>
    </row>
    <row r="164" spans="1:3">
      <c r="A164" s="42" t="s">
        <v>77</v>
      </c>
      <c r="B164" s="42" t="s">
        <v>231</v>
      </c>
      <c r="C164" s="44" t="s">
        <v>36</v>
      </c>
    </row>
    <row r="165" spans="1:3">
      <c r="A165" s="42" t="s">
        <v>68</v>
      </c>
      <c r="B165" s="42" t="s">
        <v>232</v>
      </c>
      <c r="C165" s="44" t="s">
        <v>40</v>
      </c>
    </row>
    <row r="166" spans="1:3">
      <c r="A166" s="42" t="s">
        <v>68</v>
      </c>
      <c r="B166" s="42" t="s">
        <v>233</v>
      </c>
      <c r="C166" s="44" t="s">
        <v>40</v>
      </c>
    </row>
    <row r="167" spans="1:3">
      <c r="A167" s="42" t="s">
        <v>23</v>
      </c>
      <c r="B167" s="42" t="s">
        <v>234</v>
      </c>
      <c r="C167" s="44" t="s">
        <v>24</v>
      </c>
    </row>
    <row r="168" spans="1:3">
      <c r="A168" s="42" t="s">
        <v>21</v>
      </c>
      <c r="B168" s="42" t="s">
        <v>235</v>
      </c>
      <c r="C168" s="44" t="s">
        <v>22</v>
      </c>
    </row>
    <row r="169" spans="1:3">
      <c r="A169" s="42" t="s">
        <v>31</v>
      </c>
      <c r="B169" s="42" t="s">
        <v>31</v>
      </c>
      <c r="C169" s="44" t="s">
        <v>32</v>
      </c>
    </row>
    <row r="170" spans="1:3">
      <c r="A170" s="42" t="s">
        <v>73</v>
      </c>
      <c r="B170" s="42" t="s">
        <v>73</v>
      </c>
      <c r="C170" s="44" t="s">
        <v>74</v>
      </c>
    </row>
    <row r="171" spans="1:3">
      <c r="A171" s="42" t="s">
        <v>55</v>
      </c>
      <c r="B171" s="42" t="s">
        <v>236</v>
      </c>
      <c r="C171" s="44" t="s">
        <v>30</v>
      </c>
    </row>
    <row r="172" spans="1:3">
      <c r="A172" s="42" t="s">
        <v>70</v>
      </c>
      <c r="B172" s="42" t="s">
        <v>237</v>
      </c>
      <c r="C172" s="44" t="s">
        <v>71</v>
      </c>
    </row>
    <row r="173" spans="1:3">
      <c r="A173" s="42" t="s">
        <v>70</v>
      </c>
      <c r="B173" s="42" t="s">
        <v>238</v>
      </c>
      <c r="C173" s="44" t="s">
        <v>71</v>
      </c>
    </row>
    <row r="174" spans="1:3">
      <c r="A174" s="42" t="s">
        <v>70</v>
      </c>
      <c r="B174" s="42" t="s">
        <v>239</v>
      </c>
      <c r="C174" s="44" t="s">
        <v>71</v>
      </c>
    </row>
    <row r="175" spans="1:3">
      <c r="A175" s="42" t="s">
        <v>70</v>
      </c>
      <c r="B175" s="42" t="s">
        <v>240</v>
      </c>
      <c r="C175" s="44" t="s">
        <v>71</v>
      </c>
    </row>
  </sheetData>
  <pageMargins left="0.511811024" right="0.511811024" top="0.78740157499999996" bottom="0.78740157499999996" header="0.31496062000000002" footer="0.31496062000000002"/>
  <headerFooter>
    <oddFooter>&amp;C_x000D_&amp;1#&amp;"Calibri"&amp;10&amp;K737373 Classificação da Informação: PÚBLICA</oddFoot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35860-1AF5-49F8-8C30-141B1CD70996}">
  <sheetPr codeName="Planilha4">
    <pageSetUpPr fitToPage="1"/>
  </sheetPr>
  <dimension ref="A1:L47"/>
  <sheetViews>
    <sheetView showGridLines="0" view="pageBreakPreview" zoomScale="60" zoomScaleNormal="100" workbookViewId="0">
      <selection activeCell="K49" sqref="K49"/>
    </sheetView>
  </sheetViews>
  <sheetFormatPr defaultRowHeight="14.5"/>
  <cols>
    <col min="1" max="1" width="9.1796875" style="1"/>
    <col min="2" max="2" width="11.7265625" style="1" bestFit="1" customWidth="1"/>
    <col min="3" max="3" width="12.26953125" style="1" bestFit="1" customWidth="1"/>
    <col min="4" max="8" width="9" style="1" customWidth="1"/>
    <col min="9" max="9" width="18.453125" style="1" customWidth="1"/>
    <col min="10" max="10" width="9" style="1" customWidth="1"/>
    <col min="11" max="11" width="53.54296875" style="1" customWidth="1"/>
    <col min="12" max="12" width="9.1796875" style="1"/>
  </cols>
  <sheetData>
    <row r="1" spans="1:12" ht="5.5" customHeight="1"/>
    <row r="2" spans="1:12" ht="20.149999999999999" customHeight="1">
      <c r="B2" s="100" t="s">
        <v>17</v>
      </c>
      <c r="C2" s="101"/>
      <c r="D2" s="101"/>
      <c r="E2" s="101"/>
      <c r="F2" s="101"/>
      <c r="G2" s="101"/>
      <c r="H2" s="101"/>
      <c r="I2" s="101"/>
      <c r="J2" s="101"/>
      <c r="K2" s="101"/>
    </row>
    <row r="3" spans="1:12" ht="15" customHeight="1">
      <c r="B3" s="102"/>
      <c r="C3" s="88"/>
      <c r="D3" s="88"/>
      <c r="E3" s="88"/>
      <c r="F3" s="88"/>
      <c r="G3" s="88"/>
      <c r="H3" s="88"/>
      <c r="I3" s="88"/>
      <c r="J3" s="88"/>
      <c r="K3" s="88"/>
    </row>
    <row r="4" spans="1:12" ht="15" customHeight="1">
      <c r="B4" s="102"/>
      <c r="C4" s="88"/>
      <c r="D4" s="88"/>
      <c r="E4" s="88"/>
      <c r="F4" s="88"/>
      <c r="G4" s="88"/>
      <c r="H4" s="88"/>
      <c r="I4" s="88"/>
      <c r="J4" s="88"/>
      <c r="K4" s="88"/>
    </row>
    <row r="5" spans="1:12" ht="15.75" customHeight="1">
      <c r="B5" s="102"/>
      <c r="C5" s="88"/>
      <c r="D5" s="88"/>
      <c r="E5" s="88"/>
      <c r="F5" s="88"/>
      <c r="G5" s="88"/>
      <c r="H5" s="88"/>
      <c r="I5" s="88"/>
      <c r="J5" s="88"/>
      <c r="K5" s="88"/>
    </row>
    <row r="6" spans="1:12" ht="9.65" customHeight="1">
      <c r="B6"/>
      <c r="C6" s="60"/>
      <c r="D6" s="61"/>
      <c r="E6" s="61"/>
      <c r="F6" s="61"/>
      <c r="G6" s="61"/>
      <c r="H6" s="61"/>
      <c r="I6" s="61"/>
      <c r="J6" s="61"/>
      <c r="K6" s="61"/>
    </row>
    <row r="7" spans="1:12" ht="20.149999999999999" customHeight="1">
      <c r="B7" s="18" t="s">
        <v>16</v>
      </c>
      <c r="C7" s="3" t="str">
        <f>Orçamento_Padrão!C7</f>
        <v>xxxx</v>
      </c>
      <c r="D7" s="65"/>
      <c r="E7" s="65"/>
      <c r="F7" s="65"/>
      <c r="G7" s="66"/>
      <c r="H7" s="66"/>
      <c r="I7" s="66"/>
      <c r="J7" s="66"/>
      <c r="K7" s="67"/>
    </row>
    <row r="8" spans="1:12" ht="20.149999999999999" customHeight="1">
      <c r="B8" s="19" t="s">
        <v>8</v>
      </c>
      <c r="C8" s="78">
        <f>Orçamento_Padrão!C8</f>
        <v>0</v>
      </c>
      <c r="D8" s="68"/>
      <c r="E8" s="68"/>
      <c r="F8" s="68"/>
      <c r="G8" s="69"/>
      <c r="H8" s="69"/>
      <c r="I8" s="69"/>
      <c r="J8" s="69"/>
      <c r="K8" s="70"/>
    </row>
    <row r="9" spans="1:12" ht="10.5" customHeight="1">
      <c r="B9" s="62"/>
      <c r="C9" s="62"/>
      <c r="D9" s="62"/>
      <c r="E9" s="62"/>
      <c r="F9" s="62"/>
      <c r="G9" s="61"/>
      <c r="H9" s="61"/>
      <c r="I9" s="61"/>
      <c r="J9" s="61"/>
      <c r="K9" s="61"/>
    </row>
    <row r="10" spans="1:12" ht="19.5" customHeight="1">
      <c r="B10" s="18" t="s">
        <v>7</v>
      </c>
      <c r="C10" s="3" t="str">
        <f>Orçamento_Padrão!C10</f>
        <v>xxxx</v>
      </c>
      <c r="D10" s="71"/>
      <c r="E10" s="107"/>
      <c r="F10" s="107"/>
      <c r="G10" s="66"/>
      <c r="H10" s="66"/>
      <c r="I10" s="66"/>
      <c r="J10" s="67"/>
      <c r="K10" s="72" t="s">
        <v>0</v>
      </c>
    </row>
    <row r="11" spans="1:12" ht="20.149999999999999" customHeight="1">
      <c r="B11" s="20" t="s">
        <v>9</v>
      </c>
      <c r="C11" s="6">
        <f>Orçamento_Padrão!C11</f>
        <v>0</v>
      </c>
      <c r="D11" s="73"/>
      <c r="E11" s="74"/>
      <c r="F11" s="74"/>
      <c r="G11" s="61"/>
      <c r="H11" s="61"/>
      <c r="I11" s="61"/>
      <c r="J11" s="75"/>
      <c r="K11" s="108">
        <f>Orçamento_Padrão!E11</f>
        <v>0</v>
      </c>
    </row>
    <row r="12" spans="1:12" ht="20.149999999999999" customHeight="1">
      <c r="B12" s="19" t="s">
        <v>10</v>
      </c>
      <c r="C12" s="78">
        <f>Orçamento_Padrão!C12</f>
        <v>0</v>
      </c>
      <c r="D12" s="76"/>
      <c r="E12" s="77"/>
      <c r="F12" s="77"/>
      <c r="G12" s="69"/>
      <c r="H12" s="69"/>
      <c r="I12" s="69"/>
      <c r="J12" s="70"/>
      <c r="K12" s="109"/>
    </row>
    <row r="13" spans="1:12" ht="20.149999999999999" hidden="1" customHeight="1">
      <c r="B13" s="58"/>
      <c r="C13" s="55"/>
      <c r="D13" s="56"/>
      <c r="E13" s="57"/>
      <c r="F13" s="57"/>
      <c r="G13" s="54"/>
      <c r="H13" s="54"/>
      <c r="I13" s="54"/>
      <c r="J13" s="54"/>
      <c r="K13" s="59"/>
    </row>
    <row r="14" spans="1:12" ht="20.149999999999999" hidden="1" customHeight="1">
      <c r="B14" s="58"/>
      <c r="C14" s="55"/>
      <c r="D14" s="56"/>
      <c r="E14" s="57"/>
      <c r="F14" s="57"/>
      <c r="G14" s="54"/>
      <c r="H14" s="54"/>
      <c r="I14" s="54"/>
      <c r="J14" s="54"/>
      <c r="K14" s="59"/>
    </row>
    <row r="15" spans="1:12" ht="8.5" customHeight="1">
      <c r="C15" s="53"/>
      <c r="D15" s="54"/>
      <c r="E15" s="54"/>
      <c r="F15" s="54"/>
      <c r="G15" s="54"/>
      <c r="H15" s="54"/>
      <c r="I15" s="54"/>
      <c r="J15" s="54"/>
      <c r="K15" s="54"/>
    </row>
    <row r="16" spans="1:12" s="2" customFormat="1" ht="20.149999999999999" customHeight="1">
      <c r="A16" s="35"/>
      <c r="B16" s="50">
        <v>1</v>
      </c>
      <c r="C16" s="103" t="str">
        <f>Orçamento_Padrão!D24</f>
        <v>avaria 1</v>
      </c>
      <c r="D16" s="104"/>
      <c r="E16" s="104"/>
      <c r="F16" s="104"/>
      <c r="G16" s="104"/>
      <c r="H16" s="104"/>
      <c r="I16" s="105"/>
      <c r="J16" s="50" t="s">
        <v>11</v>
      </c>
      <c r="K16" s="51">
        <f>Orçamento_Padrão!F24</f>
        <v>320</v>
      </c>
      <c r="L16" s="35"/>
    </row>
    <row r="17" spans="1:12" s="1" customFormat="1" ht="16.5" customHeight="1">
      <c r="C17" s="34"/>
      <c r="D17" s="34"/>
      <c r="E17" s="34"/>
      <c r="F17" s="34"/>
      <c r="G17" s="34"/>
      <c r="H17" s="34"/>
      <c r="J17" s="34"/>
      <c r="K17" s="34"/>
    </row>
    <row r="18" spans="1:12" s="1" customFormat="1" ht="19" customHeight="1"/>
    <row r="19" spans="1:12" s="1" customFormat="1" ht="16.5" customHeight="1"/>
    <row r="20" spans="1:12" s="1" customFormat="1" ht="20.5" customHeight="1"/>
    <row r="21" spans="1:12" s="1" customFormat="1" ht="20.5" customHeight="1"/>
    <row r="22" spans="1:12" s="1" customFormat="1" ht="17.5" customHeight="1"/>
    <row r="23" spans="1:12" s="1" customFormat="1" ht="20.149999999999999" customHeight="1"/>
    <row r="24" spans="1:12" s="1" customFormat="1" ht="17.25" customHeight="1"/>
    <row r="25" spans="1:12" s="1" customFormat="1" ht="17.25" customHeight="1"/>
    <row r="26" spans="1:12" s="1" customFormat="1" ht="17.25" customHeight="1"/>
    <row r="27" spans="1:12" s="1" customFormat="1" ht="17.25" customHeight="1"/>
    <row r="28" spans="1:12" s="1" customFormat="1" ht="17.25" customHeight="1"/>
    <row r="29" spans="1:12" s="1" customFormat="1" ht="17.25" customHeight="1"/>
    <row r="30" spans="1:12" s="1" customFormat="1" ht="17.25" customHeight="1"/>
    <row r="31" spans="1:12" s="1" customFormat="1" ht="18.649999999999999" customHeight="1">
      <c r="B31" s="52"/>
      <c r="C31" s="52"/>
      <c r="D31" s="52"/>
      <c r="E31" s="52"/>
      <c r="F31" s="52"/>
      <c r="G31" s="52"/>
      <c r="H31" s="52"/>
      <c r="I31" s="52"/>
      <c r="J31" s="52"/>
      <c r="K31" s="52"/>
    </row>
    <row r="32" spans="1:12" s="2" customFormat="1" ht="19" customHeight="1">
      <c r="A32" s="35"/>
      <c r="B32" s="50">
        <v>2</v>
      </c>
      <c r="C32" s="106" t="str">
        <f>Orçamento_Padrão!D25</f>
        <v>avaria 2</v>
      </c>
      <c r="D32" s="104"/>
      <c r="E32" s="104"/>
      <c r="F32" s="104"/>
      <c r="G32" s="104"/>
      <c r="H32" s="104"/>
      <c r="I32" s="105"/>
      <c r="J32" s="50" t="s">
        <v>11</v>
      </c>
      <c r="K32" s="51">
        <f>Orçamento_Padrão!F25</f>
        <v>320</v>
      </c>
      <c r="L32" s="35"/>
    </row>
    <row r="33" spans="2:11" s="1" customFormat="1" ht="16.5" customHeight="1">
      <c r="C33" s="34"/>
      <c r="D33" s="34"/>
      <c r="E33" s="34"/>
      <c r="F33" s="34"/>
      <c r="G33" s="34"/>
      <c r="H33" s="34"/>
      <c r="J33" s="34"/>
      <c r="K33" s="34"/>
    </row>
    <row r="34" spans="2:11" s="1" customFormat="1" ht="19" customHeight="1"/>
    <row r="35" spans="2:11" s="1" customFormat="1" ht="16.5" customHeight="1"/>
    <row r="36" spans="2:11" s="1" customFormat="1" ht="20.5" customHeight="1"/>
    <row r="37" spans="2:11" s="1" customFormat="1" ht="20.5" customHeight="1"/>
    <row r="38" spans="2:11" s="1" customFormat="1" ht="17.5" customHeight="1"/>
    <row r="39" spans="2:11" s="1" customFormat="1" ht="20.149999999999999" customHeight="1"/>
    <row r="40" spans="2:11" s="1" customFormat="1" ht="17.25" customHeight="1"/>
    <row r="41" spans="2:11" s="1" customFormat="1" ht="17.25" customHeight="1"/>
    <row r="42" spans="2:11" s="1" customFormat="1" ht="17.25" customHeight="1"/>
    <row r="43" spans="2:11" s="1" customFormat="1" ht="17.25" customHeight="1"/>
    <row r="44" spans="2:11" s="1" customFormat="1" ht="17.25" customHeight="1"/>
    <row r="45" spans="2:11" s="1" customFormat="1" ht="17.25" customHeight="1"/>
    <row r="46" spans="2:11" s="1" customFormat="1" ht="17.25" customHeight="1"/>
    <row r="47" spans="2:11" s="1" customFormat="1" ht="18.649999999999999" customHeight="1">
      <c r="B47" s="52"/>
      <c r="C47" s="52"/>
      <c r="D47" s="52"/>
      <c r="E47" s="52"/>
      <c r="F47" s="52"/>
      <c r="G47" s="52"/>
      <c r="H47" s="52"/>
      <c r="I47" s="52"/>
      <c r="J47" s="52"/>
      <c r="K47" s="52"/>
    </row>
  </sheetData>
  <sheetProtection formatCells="0" formatColumns="0" formatRows="0" insertRows="0" insertHyperlinks="0" deleteRows="0" sort="0" autoFilter="0"/>
  <mergeCells count="5">
    <mergeCell ref="B2:K5"/>
    <mergeCell ref="C16:I16"/>
    <mergeCell ref="C32:I32"/>
    <mergeCell ref="E10:F10"/>
    <mergeCell ref="K11:K12"/>
  </mergeCells>
  <pageMargins left="0.7" right="0.7" top="0.75" bottom="0.75" header="0.3" footer="0.3"/>
  <pageSetup paperSize="9" scale="51" fitToHeight="0" orientation="portrait" r:id="rId1"/>
  <headerFooter>
    <oddFooter>&amp;C_x000D_&amp;1#&amp;"Calibri"&amp;10&amp;K737373 Classificação da Informação: PÚBLICA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0D80B-B440-4D62-BA3F-12BD3F34BC74}">
  <sheetPr codeName="Planilha5"/>
  <dimension ref="B7:G20"/>
  <sheetViews>
    <sheetView showGridLines="0" topLeftCell="A25" zoomScale="90" zoomScaleNormal="90" workbookViewId="0">
      <selection activeCell="Q34" sqref="Q34"/>
    </sheetView>
  </sheetViews>
  <sheetFormatPr defaultRowHeight="14.5"/>
  <sheetData>
    <row r="7" spans="2:2">
      <c r="B7" t="s">
        <v>247</v>
      </c>
    </row>
    <row r="8" spans="2:2">
      <c r="B8" t="s">
        <v>248</v>
      </c>
    </row>
    <row r="12" spans="2:2">
      <c r="B12" t="s">
        <v>12</v>
      </c>
    </row>
    <row r="13" spans="2:2">
      <c r="B13" t="s">
        <v>249</v>
      </c>
    </row>
    <row r="14" spans="2:2">
      <c r="B14" t="s">
        <v>250</v>
      </c>
    </row>
    <row r="20" spans="3:7">
      <c r="C20" t="s">
        <v>13</v>
      </c>
      <c r="G20">
        <v>250</v>
      </c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Footer>&amp;C_x000D_&amp;1#&amp;"Calibri"&amp;10&amp;K737373 Classificação da Informação: PÚBLICA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67727D1AFFAEB408E912012BBEF688E" ma:contentTypeVersion="12" ma:contentTypeDescription="Crie um novo documento." ma:contentTypeScope="" ma:versionID="da8b4184e0994b5daf757c483e5dc862">
  <xsd:schema xmlns:xsd="http://www.w3.org/2001/XMLSchema" xmlns:xs="http://www.w3.org/2001/XMLSchema" xmlns:p="http://schemas.microsoft.com/office/2006/metadata/properties" xmlns:ns2="32f1cbbe-6a00-479a-b716-7cf225901ead" xmlns:ns3="89621f6f-014f-4486-a270-869d00c3131c" targetNamespace="http://schemas.microsoft.com/office/2006/metadata/properties" ma:root="true" ma:fieldsID="e2d85ef3337a43ef792ac46f62659d06" ns2:_="" ns3:_="">
    <xsd:import namespace="32f1cbbe-6a00-479a-b716-7cf225901ead"/>
    <xsd:import namespace="89621f6f-014f-4486-a270-869d00c313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f1cbbe-6a00-479a-b716-7cf225901e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Marcações de imagem" ma:readOnly="false" ma:fieldId="{5cf76f15-5ced-4ddc-b409-7134ff3c332f}" ma:taxonomyMulti="true" ma:sspId="7073ee57-0318-4912-9342-e66ac4d10c2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621f6f-014f-4486-a270-869d00c3131c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6a85cb9e-d562-400f-91d2-78cb86063c5c}" ma:internalName="TaxCatchAll" ma:showField="CatchAllData" ma:web="89621f6f-014f-4486-a270-869d00c313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2f1cbbe-6a00-479a-b716-7cf225901ead">
      <Terms xmlns="http://schemas.microsoft.com/office/infopath/2007/PartnerControls"/>
    </lcf76f155ced4ddcb4097134ff3c332f>
    <TaxCatchAll xmlns="89621f6f-014f-4486-a270-869d00c3131c" xsi:nil="true"/>
  </documentManagement>
</p:properties>
</file>

<file path=customXml/itemProps1.xml><?xml version="1.0" encoding="utf-8"?>
<ds:datastoreItem xmlns:ds="http://schemas.openxmlformats.org/officeDocument/2006/customXml" ds:itemID="{92DC0FFA-1CE8-475C-B0E0-A856E42015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2f1cbbe-6a00-479a-b716-7cf225901ead"/>
    <ds:schemaRef ds:uri="89621f6f-014f-4486-a270-869d00c313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AE63678-5824-4C68-9879-8DA74D47179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5C1C1B0-CCF1-435C-ACEC-F5693D816A50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B25C6835-C1E4-4AE8-A7D5-7BFA83B6B75E}">
  <ds:schemaRefs>
    <ds:schemaRef ds:uri="http://purl.org/dc/dcmitype/"/>
    <ds:schemaRef ds:uri="79eb9c43-cc36-4c3b-8b70-7f1e4998da57"/>
    <ds:schemaRef ds:uri="http://schemas.microsoft.com/office/2006/metadata/properties"/>
    <ds:schemaRef ds:uri="http://purl.org/dc/elements/1.1/"/>
    <ds:schemaRef ds:uri="http://schemas.microsoft.com/office/2006/documentManagement/types"/>
    <ds:schemaRef ds:uri="http://purl.org/dc/terms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32f1cbbe-6a00-479a-b716-7cf225901ead"/>
    <ds:schemaRef ds:uri="89621f6f-014f-4486-a270-869d00c3131c"/>
  </ds:schemaRefs>
</ds:datastoreItem>
</file>

<file path=docMetadata/LabelInfo.xml><?xml version="1.0" encoding="utf-8"?>
<clbl:labelList xmlns:clbl="http://schemas.microsoft.com/office/2020/mipLabelMetadata">
  <clbl:label id="{2e785b33-20e6-4579-a510-fbb48ba311ec}" enabled="1" method="Privileged" siteId="{3737367d-87d3-46ca-b00f-21b50c428b5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2</vt:i4>
      </vt:variant>
    </vt:vector>
  </HeadingPairs>
  <TitlesOfParts>
    <vt:vector size="6" baseType="lpstr">
      <vt:lpstr>Orçamento_Padrão</vt:lpstr>
      <vt:lpstr>LPU</vt:lpstr>
      <vt:lpstr>Detalhamento_Avarias</vt:lpstr>
      <vt:lpstr>Checklist</vt:lpstr>
      <vt:lpstr>Detalhamento_Avarias!Area_de_impressao</vt:lpstr>
      <vt:lpstr>Orçamento_Padrão!Area_de_impressao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Gabriel Inocencio</dc:creator>
  <cp:keywords/>
  <dc:description/>
  <cp:lastModifiedBy>Alessandra Rodrigues</cp:lastModifiedBy>
  <cp:revision/>
  <cp:lastPrinted>2025-10-23T13:59:25Z</cp:lastPrinted>
  <dcterms:created xsi:type="dcterms:W3CDTF">2024-12-20T13:12:30Z</dcterms:created>
  <dcterms:modified xsi:type="dcterms:W3CDTF">2026-04-20T19:24:21Z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0x010100967727D1AFFAEB408E912012BBEF688E</vt:lpwstr>
  </property>
  <property fmtid="{D5CDD505-2E9C-101B-9397-08002B2CF9AE}" pid="3" name="MediaServiceImageTags">
    <vt:lpwstr/>
  </property>
</Properties>
</file>