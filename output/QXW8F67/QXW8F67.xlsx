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150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164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Moeda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topLeftCell="A17" zoomScale="75" zoomScaleNormal="75" workbookViewId="0">
      <selection activeCell="F59" sqref="F59"/>
    </sheetView>
  </sheetViews>
  <sheetFormatPr baseColWidth="8" defaultRowHeight="14.5"/>
  <cols>
    <col width="20.1796875" customWidth="1" min="2" max="2"/>
    <col width="24" customWidth="1" min="3" max="3"/>
    <col width="63.54296875" customWidth="1" style="43" min="4" max="4"/>
    <col width="11.54296875" customWidth="1" min="5" max="5"/>
    <col width="26.453125" bestFit="1" customWidth="1" min="6" max="6"/>
    <col width="9.453125" bestFit="1" customWidth="1" min="7" max="7"/>
    <col width="11.81640625" bestFit="1" customWidth="1" min="8" max="8"/>
    <col width="14.26953125" bestFit="1" customWidth="1" min="10" max="10"/>
  </cols>
  <sheetData>
    <row r="1" ht="25" customHeight="1" thickBot="1">
      <c r="B1" s="8" t="n"/>
      <c r="C1" s="8" t="n"/>
      <c r="D1" s="8" t="n"/>
      <c r="E1" s="8" t="n"/>
      <c r="F1" s="8" t="n"/>
      <c r="G1" s="8" t="n"/>
    </row>
    <row r="2" ht="20.15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5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5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5" customFormat="1" customHeight="1" s="2">
      <c r="B10" s="18" t="inlineStr">
        <is>
          <t>Placa:</t>
        </is>
      </c>
      <c r="C10" s="5" t="inlineStr">
        <is>
          <t>QXW8F67</t>
        </is>
      </c>
      <c r="D10" s="3" t="n"/>
      <c r="E10" s="119" t="inlineStr">
        <is>
          <t>VALOR TOTAL</t>
        </is>
      </c>
      <c r="F10" s="120" t="n"/>
      <c r="G10" s="10" t="n"/>
    </row>
    <row r="11" ht="17.15" customFormat="1" customHeight="1" s="2">
      <c r="B11" s="20" t="inlineStr">
        <is>
          <t>Modelo:</t>
        </is>
      </c>
      <c r="C11" s="6" t="inlineStr">
        <is>
          <t>KICKS SENSE 1.6 16V FLEX 4P C/AR - AUTOMÁTICO</t>
        </is>
      </c>
      <c r="D11" s="6" t="n"/>
      <c r="E11" s="121">
        <f>F59</f>
        <v/>
      </c>
      <c r="F11" s="122" t="n"/>
      <c r="G11" s="10" t="n"/>
    </row>
    <row r="12" ht="17.15" customFormat="1" customHeight="1" s="2">
      <c r="B12" s="19" t="inlineStr">
        <is>
          <t>Cor:</t>
        </is>
      </c>
      <c r="C12" s="78" t="inlineStr">
        <is>
          <t>PRETO PREMIUM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5" customFormat="1" customHeight="1" s="2">
      <c r="B14" s="26" t="n"/>
      <c r="C14" s="5" t="n"/>
      <c r="D14" s="5" t="n"/>
      <c r="E14" s="5" t="n"/>
      <c r="F14" s="27" t="n"/>
      <c r="G14" s="10" t="n"/>
    </row>
    <row r="15" ht="17.15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5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5" customFormat="1" customHeight="1" s="2">
      <c r="B18" s="98" t="inlineStr">
        <is>
          <t>Descrição</t>
        </is>
      </c>
      <c r="G18" s="10" t="n"/>
    </row>
    <row r="19">
      <c r="B19" s="99" t="inlineStr">
        <is>
          <t>Avarias de devolução</t>
        </is>
      </c>
      <c r="G19" s="9" t="n"/>
    </row>
    <row r="20" ht="15.5" customHeight="1">
      <c r="B20" s="7" t="n"/>
      <c r="C20" s="7" t="n"/>
      <c r="D20" s="7" t="n"/>
      <c r="E20" s="7" t="n"/>
      <c r="F20" s="7" t="n"/>
      <c r="G20" s="9" t="n"/>
    </row>
    <row r="21" ht="15.5" customHeight="1">
      <c r="B21" s="93" t="inlineStr">
        <is>
          <t>ITENS DA SOLICITAÇÃO DE SERVIÇOS RELACIONADOS A ESTA COBRANÇA</t>
        </is>
      </c>
      <c r="G21" s="9" t="n"/>
    </row>
    <row r="22" ht="15.5" customHeight="1">
      <c r="B22" s="14" t="n"/>
      <c r="C22" s="14" t="n"/>
      <c r="D22" s="14" t="n"/>
      <c r="E22" s="14" t="n"/>
      <c r="F22" s="14" t="n"/>
      <c r="G22" s="9" t="n"/>
    </row>
    <row r="23" ht="20.15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5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5" customHeight="1">
      <c r="B25" s="40" t="n">
        <v>2</v>
      </c>
      <c r="C25" s="41" t="inlineStr">
        <is>
          <t>Avarias de Devolução</t>
        </is>
      </c>
      <c r="D25" s="37" t="inlineStr">
        <is>
          <t>Pintura porta traseira direita</t>
        </is>
      </c>
      <c r="E25" s="36" t="n">
        <v>1</v>
      </c>
      <c r="F25" s="38" t="n">
        <v>340</v>
      </c>
      <c r="G25" s="9" t="n"/>
      <c r="H25" s="49">
        <f>IFERROR(_xlfn.XLOOKUP(D25,[1]LPU!$C:$C,[1]LPU!$D:$D)*Orçamento_Padrão!E25,F25)</f>
        <v/>
      </c>
    </row>
    <row r="26" ht="17.15" customHeight="1">
      <c r="B26" s="40" t="n">
        <v>3</v>
      </c>
      <c r="C26" s="41" t="inlineStr">
        <is>
          <t>Avarias de Devolução</t>
        </is>
      </c>
      <c r="D26" s="37" t="inlineStr">
        <is>
          <t>CHECKLIST - Avaria reportada na peça 'porta_traseira_esquerda' (REVISAR)</t>
        </is>
      </c>
      <c r="E26" s="36" t="n">
        <v>1</v>
      </c>
      <c r="F26" s="38" t="n">
        <v>0</v>
      </c>
      <c r="G26" s="9" t="n"/>
      <c r="H26" s="49">
        <f>IFERROR(_xlfn.XLOOKUP(D26,[1]LPU!$C:$C,[1]LPU!$D:$D)*Orçamento_Padrão!E26,F26)</f>
        <v/>
      </c>
    </row>
    <row r="27" ht="17.15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5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5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5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5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5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5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5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5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5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5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5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5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5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5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5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5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5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5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5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5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5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5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5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5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5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5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5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5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5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5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5.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5" customFormat="1" customHeight="1" s="2">
      <c r="B59" s="15" t="n"/>
      <c r="C59" s="15" t="n"/>
      <c r="D59" s="63" t="n"/>
      <c r="E59" s="25" t="inlineStr">
        <is>
          <t>Total</t>
        </is>
      </c>
      <c r="F59" s="39">
        <f>SUM(F24:F57)</f>
        <v/>
      </c>
      <c r="G59" s="10" t="n"/>
      <c r="H59" s="49">
        <f>IFERROR(_xlfn.XLOOKUP(D59,[1]LPU!$C:$C,[1]LPU!$D:$D)*Orçamento_Padrão!E59,F59)</f>
        <v/>
      </c>
    </row>
    <row r="60" ht="15.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5.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5.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5.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5.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5.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5.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5.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4.5"/>
  <cols>
    <col width="26.7265625" customWidth="1" min="1" max="1"/>
    <col width="53.54296875" bestFit="1" customWidth="1" min="2" max="2"/>
    <col width="26.726562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63"/>
  <sheetViews>
    <sheetView showGridLines="0" view="pageBreakPreview" zoomScale="60" zoomScaleNormal="100" workbookViewId="0">
      <selection activeCell="K49" sqref="K49"/>
    </sheetView>
  </sheetViews>
  <sheetFormatPr baseColWidth="8" defaultRowHeight="14.5"/>
  <cols>
    <col width="9.1796875" customWidth="1" style="1" min="1" max="1"/>
    <col width="11.7265625" bestFit="1" customWidth="1" style="1" min="2" max="2"/>
    <col width="12.26953125" bestFit="1" customWidth="1" style="1" min="3" max="3"/>
    <col width="9" customWidth="1" style="1" min="4" max="8"/>
    <col width="18.453125" customWidth="1" style="1" min="9" max="9"/>
    <col width="9" customWidth="1" style="1" min="10" max="10"/>
    <col width="53.54296875" customWidth="1" style="1" min="11" max="11"/>
    <col width="9.1796875" customWidth="1" style="1" min="12" max="12"/>
  </cols>
  <sheetData>
    <row r="1" ht="5.5" customHeight="1"/>
    <row r="2" ht="20.15" customHeight="1">
      <c r="B2" s="100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5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5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5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QXW8F67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5" customHeight="1">
      <c r="B11" s="20" t="inlineStr">
        <is>
          <t>Modelo:</t>
        </is>
      </c>
      <c r="C11" s="6" t="inlineStr">
        <is>
          <t>KICKS SENSE 1.6 16V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660</v>
      </c>
    </row>
    <row r="12" ht="20.15" customHeight="1">
      <c r="B12" s="19" t="inlineStr">
        <is>
          <t>Cor:</t>
        </is>
      </c>
      <c r="C12" s="78" t="inlineStr">
        <is>
          <t>PRETO PREMIUM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5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5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5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5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9" customFormat="1" customHeight="1" s="1"/>
    <row r="19" ht="16.5" customFormat="1" customHeight="1" s="1"/>
    <row r="20" ht="20.5" customFormat="1" customHeight="1" s="1"/>
    <row r="21" ht="20.5" customFormat="1" customHeight="1" s="1"/>
    <row r="22" ht="17.5" customFormat="1" customHeight="1" s="1"/>
    <row r="23" ht="20.15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5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9" customFormat="1" customHeight="1" s="2">
      <c r="A32" s="35" t="n"/>
      <c r="B32" s="50" t="n">
        <v>2</v>
      </c>
      <c r="C32" s="129" t="inlineStr">
        <is>
          <t>Pintura porta traseira direita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340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9" customFormat="1" customHeight="1" s="1"/>
    <row r="35" ht="16.5" customFormat="1" customHeight="1" s="1"/>
    <row r="36" ht="20.5" customFormat="1" customHeight="1" s="1"/>
    <row r="37" ht="20.5" customFormat="1" customHeight="1" s="1"/>
    <row r="38" ht="17.5" customFormat="1" customHeight="1" s="1"/>
    <row r="39" ht="20.15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5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9" customHeight="1">
      <c r="A48" s="130" t="n"/>
      <c r="B48" s="50" t="n">
        <v>3</v>
      </c>
      <c r="C48" s="129" t="inlineStr">
        <is>
          <t>CHECKLIST - Avaria reportada na peça 'porta_traseira_esquerda' (REVISAR)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9" customHeight="1"/>
    <row r="51" ht="16.5" customHeight="1"/>
    <row r="52" ht="20.5" customHeight="1"/>
    <row r="53" ht="20.5" customHeight="1"/>
    <row r="54" ht="17.5" customHeight="1"/>
    <row r="55" ht="20.1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5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</sheetData>
  <mergeCells count="6">
    <mergeCell ref="K11:K12"/>
    <mergeCell ref="C48:I48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4.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2026-04-20T20:34:09Z</dcterms:modified>
  <cp:lastModifiedBy>Alessandra Rodrigues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