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3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3" applyProtection="1" pivotButton="0" quotePrefix="0" xfId="0">
      <protection locked="0" hidden="0"/>
    </xf>
    <xf numFmtId="0" fontId="1" fillId="0" borderId="8" applyProtection="1" pivotButton="0" quotePrefix="0" xfId="0"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Relationship Type="http://schemas.openxmlformats.org/officeDocument/2006/relationships/image" Target="/xl/media/image6.png" Id="rId5" /><Relationship Type="http://schemas.openxmlformats.org/officeDocument/2006/relationships/image" Target="/xl/media/image7.png" Id="rId6" /></Relationships>
</file>

<file path=xl/drawings/_rels/drawing3.xml.rels><Relationships xmlns="http://schemas.openxmlformats.org/package/2006/relationships"><Relationship Type="http://schemas.openxmlformats.org/officeDocument/2006/relationships/image" Target="/xl/media/image8.png" Id="rId1" /><Relationship Type="http://schemas.openxmlformats.org/officeDocument/2006/relationships/image" Target="/xl/media/image9.png" Id="rId2" /><Relationship Type="http://schemas.openxmlformats.org/officeDocument/2006/relationships/image" Target="/xl/media/image10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16002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16002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160020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</row>
      <rowOff>0</rowOff>
    </from>
    <ext cx="1600200" cy="2857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</row>
      <rowOff>0</rowOff>
    </from>
    <ext cx="1600200" cy="2857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</row>
      <rowOff>0</rowOff>
    </from>
    <ext cx="5076825" cy="2857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xxxx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/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/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Pintura para-choque traseiro</t>
        </is>
      </c>
      <c r="E24" s="36" t="n">
        <v>1</v>
      </c>
      <c r="F24" s="38" t="n">
        <v>320</v>
      </c>
      <c r="G24" s="9" t="n"/>
      <c r="H24" s="49">
        <f>IFERROR(_xlfn.XLOOKUP(D24,[1]LPU!$C:$C,[1]LPU!$D:$D)*Orçamento_Padrão!E24,F24)</f>
        <v/>
      </c>
    </row>
    <row r="25" ht="17.1" customHeight="1">
      <c r="B25" s="40" t="n">
        <v>2</v>
      </c>
      <c r="C25" s="41" t="inlineStr">
        <is>
          <t>Avarias de Devolução</t>
        </is>
      </c>
      <c r="D25" s="37" t="inlineStr">
        <is>
          <t>Recuperação e pintura porta traseira direita</t>
        </is>
      </c>
      <c r="E25" s="36" t="n">
        <v>1</v>
      </c>
      <c r="F25" s="38" t="n">
        <v>420</v>
      </c>
      <c r="G25" s="9" t="n"/>
      <c r="H25" s="49">
        <f>IFERROR(_xlfn.XLOOKUP(D25,[1]LPU!$C:$C,[1]LPU!$D:$D)*Orçamento_Padrão!E25,F25)</f>
        <v/>
      </c>
    </row>
    <row r="26" ht="17.1" customHeight="1">
      <c r="B26" s="40" t="n">
        <v>3</v>
      </c>
      <c r="C26" s="41" t="inlineStr">
        <is>
          <t>Avarias de Devolução</t>
        </is>
      </c>
      <c r="D26" s="37" t="inlineStr">
        <is>
          <t>Troca jogo de calotas</t>
        </is>
      </c>
      <c r="E26" s="36" t="n">
        <v>1</v>
      </c>
      <c r="F26" s="38" t="n">
        <v>135</v>
      </c>
      <c r="G26" s="9" t="n"/>
      <c r="H26" s="49">
        <f>IFERROR(_xlfn.XLOOKUP(D26,[1]LPU!$C:$C,[1]LPU!$D:$D)*Orçamento_Padrão!E26,F26)</f>
        <v/>
      </c>
    </row>
    <row r="27" ht="17.1" customHeight="1">
      <c r="B27" s="40" t="n">
        <v>4</v>
      </c>
      <c r="C27" s="41" t="inlineStr">
        <is>
          <t>Avarias de Devolução</t>
        </is>
      </c>
      <c r="D27" s="37" t="inlineStr">
        <is>
          <t>CHECKLIST — Avaria reportada na peça 'parachoque_dianteiro' (REVISAR)</t>
        </is>
      </c>
      <c r="E27" s="36" t="n">
        <v>1</v>
      </c>
      <c r="F27" s="38" t="n">
        <v>0</v>
      </c>
      <c r="G27" s="9" t="n"/>
      <c r="H27" s="49">
        <f>IFERROR(_xlfn.XLOOKUP(D27,[1]LPU!$C:$C,[1]LPU!$D:$D)*Orçamento_Padrão!E27,F27)</f>
        <v/>
      </c>
    </row>
    <row r="28" ht="17.1" customHeight="1">
      <c r="B28" s="40" t="n">
        <v>5</v>
      </c>
      <c r="C28" s="41" t="inlineStr">
        <is>
          <t>Avarias de Devolução</t>
        </is>
      </c>
      <c r="D28" s="37" t="inlineStr">
        <is>
          <t>CHECKLIST — Avaria reportada na peça 'paralama_traseiro_direito' (REVISAR)</t>
        </is>
      </c>
      <c r="E28" s="36" t="n">
        <v>1</v>
      </c>
      <c r="F28" s="38" t="n">
        <v>0</v>
      </c>
      <c r="G28" s="9" t="n"/>
      <c r="H28" s="49">
        <f>IFERROR(_xlfn.XLOOKUP(D28,[1]LPU!$C:$C,[1]LPU!$D:$D)*Orçamento_Padrão!E28,F28)</f>
        <v/>
      </c>
    </row>
    <row r="29" ht="17.1" customHeight="1">
      <c r="B29" s="40" t="n">
        <v>6</v>
      </c>
      <c r="C29" s="41" t="inlineStr">
        <is>
          <t>Avarias de Devolução</t>
        </is>
      </c>
      <c r="D29" s="37" t="inlineStr">
        <is>
          <t>CHECKLIST — Avaria reportada na peça 'porta_dianteira_direita' (REVISAR)</t>
        </is>
      </c>
      <c r="E29" s="36" t="n">
        <v>1</v>
      </c>
      <c r="F29" s="38" t="n">
        <v>0</v>
      </c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>
        <v>1</v>
      </c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>
        <v>1</v>
      </c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>
        <v>1</v>
      </c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>
        <v>1</v>
      </c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>
        <v>1</v>
      </c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>
        <v>1</v>
      </c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>
        <v>1</v>
      </c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>
        <v>1</v>
      </c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>
        <v>1</v>
      </c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>
        <v>1</v>
      </c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>
        <v>1</v>
      </c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>
        <v>1</v>
      </c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>
        <v>1</v>
      </c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>
        <v>1</v>
      </c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>
        <v>1</v>
      </c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>
        <v>1</v>
      </c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>
        <v>1</v>
      </c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>
        <v>1</v>
      </c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>
        <v>1</v>
      </c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>
        <v>1</v>
      </c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>
        <v>1</v>
      </c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>
        <v>1</v>
      </c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>
        <v>1</v>
      </c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>
        <v>1</v>
      </c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inlineStr">
        <is>
          <t>Total</t>
        </is>
      </c>
      <c r="F59" s="39">
        <f>SUM(F24:F57)</f>
        <v/>
      </c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111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xxxx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/>
      <c r="D11" s="73" t="n"/>
      <c r="E11" s="74" t="n"/>
      <c r="F11" s="74" t="n"/>
      <c r="G11" s="61" t="n"/>
      <c r="H11" s="61" t="n"/>
      <c r="I11" s="61" t="n"/>
      <c r="J11" s="75" t="n"/>
      <c r="K11" s="109" t="n">
        <v>875</v>
      </c>
    </row>
    <row r="12" ht="20.1" customHeight="1">
      <c r="B12" s="19" t="inlineStr">
        <is>
          <t>Cor:</t>
        </is>
      </c>
      <c r="C12" s="78" t="inlineStr"/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Pintura para-choque traseiro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320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 t="inlineStr">
        <is>
          <t>Recuperação e pintura porta traseira direita</t>
        </is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 t="n">
        <v>420</v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  <row r="48" ht="18.95" customHeight="1">
      <c r="A48" s="130" t="n"/>
      <c r="B48" s="50" t="n">
        <v>3</v>
      </c>
      <c r="C48" s="129" t="inlineStr">
        <is>
          <t>Troca jogo de calotas</t>
        </is>
      </c>
      <c r="D48" s="34" t="n"/>
      <c r="E48" s="34" t="n"/>
      <c r="F48" s="34" t="n"/>
      <c r="G48" s="34" t="n"/>
      <c r="H48" s="34" t="n"/>
      <c r="I48" s="128" t="n"/>
      <c r="J48" s="50" t="n"/>
      <c r="K48" s="51" t="n">
        <v>135</v>
      </c>
      <c r="L48" s="130" t="n"/>
    </row>
    <row r="49" ht="16.5" customHeight="1">
      <c r="C49" s="131" t="n"/>
      <c r="D49" s="131" t="n"/>
      <c r="E49" s="131" t="n"/>
      <c r="F49" s="131" t="n"/>
      <c r="G49" s="131" t="n"/>
      <c r="H49" s="131" t="n"/>
      <c r="J49" s="131" t="n"/>
      <c r="K49" s="131" t="n"/>
    </row>
    <row r="50" ht="18.95" customHeight="1"/>
    <row r="51" ht="16.5" customHeight="1"/>
    <row r="52" ht="20.45" customHeight="1"/>
    <row r="53" ht="20.45" customHeight="1"/>
    <row r="54" ht="17.45" customHeight="1"/>
    <row r="55" ht="20.1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8.6" customHeight="1">
      <c r="B63" s="132" t="n"/>
      <c r="C63" s="132" t="n"/>
      <c r="D63" s="132" t="n"/>
      <c r="E63" s="132" t="n"/>
      <c r="F63" s="132" t="n"/>
      <c r="G63" s="132" t="n"/>
      <c r="H63" s="132" t="n"/>
      <c r="I63" s="132" t="n"/>
      <c r="J63" s="132" t="n"/>
      <c r="K63" s="132" t="n"/>
    </row>
    <row r="64" ht="18.95" customHeight="1">
      <c r="A64" s="130" t="n"/>
      <c r="B64" s="50" t="n">
        <v>4</v>
      </c>
      <c r="C64" s="129" t="inlineStr">
        <is>
          <t>CHECKLIST — Avaria reportada na peça 'parachoque_dianteiro' (REVISAR)</t>
        </is>
      </c>
      <c r="D64" s="34" t="n"/>
      <c r="E64" s="34" t="n"/>
      <c r="F64" s="34" t="n"/>
      <c r="G64" s="34" t="n"/>
      <c r="H64" s="34" t="n"/>
      <c r="I64" s="128" t="n"/>
      <c r="J64" s="50" t="n"/>
      <c r="K64" s="51" t="n">
        <v>0</v>
      </c>
      <c r="L64" s="130" t="n"/>
    </row>
    <row r="65" ht="16.5" customHeight="1">
      <c r="C65" s="131" t="n"/>
      <c r="D65" s="131" t="n"/>
      <c r="E65" s="131" t="n"/>
      <c r="F65" s="131" t="n"/>
      <c r="G65" s="131" t="n"/>
      <c r="H65" s="131" t="n"/>
      <c r="J65" s="131" t="n"/>
      <c r="K65" s="131" t="n"/>
    </row>
    <row r="66" ht="18.95" customHeight="1"/>
    <row r="67" ht="16.5" customHeight="1"/>
    <row r="68" ht="20.45" customHeight="1"/>
    <row r="69" ht="20.45" customHeight="1"/>
    <row r="70" ht="17.45" customHeight="1"/>
    <row r="71" ht="20.1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8.6" customHeight="1">
      <c r="B79" s="132" t="n"/>
      <c r="C79" s="132" t="n"/>
      <c r="D79" s="132" t="n"/>
      <c r="E79" s="132" t="n"/>
      <c r="F79" s="132" t="n"/>
      <c r="G79" s="132" t="n"/>
      <c r="H79" s="132" t="n"/>
      <c r="I79" s="132" t="n"/>
      <c r="J79" s="132" t="n"/>
      <c r="K79" s="132" t="n"/>
    </row>
    <row r="80" ht="18.95" customHeight="1">
      <c r="A80" s="130" t="n"/>
      <c r="B80" s="50" t="n">
        <v>5</v>
      </c>
      <c r="C80" s="129" t="inlineStr">
        <is>
          <t>CHECKLIST — Avaria reportada na peça 'paralama_traseiro_direito' (REVISAR)</t>
        </is>
      </c>
      <c r="D80" s="34" t="n"/>
      <c r="E80" s="34" t="n"/>
      <c r="F80" s="34" t="n"/>
      <c r="G80" s="34" t="n"/>
      <c r="H80" s="34" t="n"/>
      <c r="I80" s="128" t="n"/>
      <c r="J80" s="50" t="n"/>
      <c r="K80" s="51" t="n">
        <v>0</v>
      </c>
      <c r="L80" s="130" t="n"/>
    </row>
    <row r="81" ht="16.5" customHeight="1">
      <c r="C81" s="131" t="n"/>
      <c r="D81" s="131" t="n"/>
      <c r="E81" s="131" t="n"/>
      <c r="F81" s="131" t="n"/>
      <c r="G81" s="131" t="n"/>
      <c r="H81" s="131" t="n"/>
      <c r="J81" s="131" t="n"/>
      <c r="K81" s="131" t="n"/>
    </row>
    <row r="82" ht="18.95" customHeight="1"/>
    <row r="83" ht="16.5" customHeight="1"/>
    <row r="84" ht="20.45" customHeight="1"/>
    <row r="85" ht="20.45" customHeight="1"/>
    <row r="86" ht="17.45" customHeight="1"/>
    <row r="87" ht="20.1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8.6" customHeight="1">
      <c r="B95" s="132" t="n"/>
      <c r="C95" s="132" t="n"/>
      <c r="D95" s="132" t="n"/>
      <c r="E95" s="132" t="n"/>
      <c r="F95" s="132" t="n"/>
      <c r="G95" s="132" t="n"/>
      <c r="H95" s="132" t="n"/>
      <c r="I95" s="132" t="n"/>
      <c r="J95" s="132" t="n"/>
      <c r="K95" s="132" t="n"/>
    </row>
    <row r="96" ht="18.95" customHeight="1">
      <c r="A96" s="130" t="n"/>
      <c r="B96" s="50" t="n">
        <v>6</v>
      </c>
      <c r="C96" s="129" t="inlineStr">
        <is>
          <t>CHECKLIST — Avaria reportada na peça 'porta_dianteira_direita' (REVISAR)</t>
        </is>
      </c>
      <c r="D96" s="34" t="n"/>
      <c r="E96" s="34" t="n"/>
      <c r="F96" s="34" t="n"/>
      <c r="G96" s="34" t="n"/>
      <c r="H96" s="34" t="n"/>
      <c r="I96" s="128" t="n"/>
      <c r="J96" s="50" t="n"/>
      <c r="K96" s="51" t="n">
        <v>0</v>
      </c>
      <c r="L96" s="130" t="n"/>
    </row>
    <row r="97" ht="16.5" customHeight="1">
      <c r="C97" s="131" t="n"/>
      <c r="D97" s="131" t="n"/>
      <c r="E97" s="131" t="n"/>
      <c r="F97" s="131" t="n"/>
      <c r="G97" s="131" t="n"/>
      <c r="H97" s="131" t="n"/>
      <c r="J97" s="131" t="n"/>
      <c r="K97" s="131" t="n"/>
    </row>
    <row r="98" ht="18.95" customHeight="1"/>
    <row r="99" ht="16.5" customHeight="1"/>
    <row r="100" ht="20.45" customHeight="1"/>
    <row r="101" ht="20.45" customHeight="1"/>
    <row r="102" ht="17.45" customHeight="1"/>
    <row r="103" ht="20.1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8.6" customHeight="1">
      <c r="B111" s="132" t="n"/>
      <c r="C111" s="132" t="n"/>
      <c r="D111" s="132" t="n"/>
      <c r="E111" s="132" t="n"/>
      <c r="F111" s="132" t="n"/>
      <c r="G111" s="132" t="n"/>
      <c r="H111" s="132" t="n"/>
      <c r="I111" s="132" t="n"/>
      <c r="J111" s="132" t="n"/>
      <c r="K111" s="132" t="n"/>
    </row>
  </sheetData>
  <mergeCells count="9">
    <mergeCell ref="K11:K12"/>
    <mergeCell ref="C96:I96"/>
    <mergeCell ref="C48:I48"/>
    <mergeCell ref="E10:F10"/>
    <mergeCell ref="C64:I64"/>
    <mergeCell ref="C80:I8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2026-01-28T16:27:39Z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