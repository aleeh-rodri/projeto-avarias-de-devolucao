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3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3" applyProtection="1" pivotButton="0" quotePrefix="0" xfId="0">
      <protection locked="0" hidden="0"/>
    </xf>
    <xf numFmtId="0" fontId="1" fillId="0" borderId="8" applyProtection="1" pivotButton="0" quotePrefix="0" xfId="0"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Relationship Type="http://schemas.openxmlformats.org/officeDocument/2006/relationships/image" Target="/xl/media/image8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3810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38100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381000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UAI8J51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ONIX PLUS LTZ 1.0 12V TURBO FLEX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PRATA SHARK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Reparo peça plástica do para-choque dianteiro</t>
        </is>
      </c>
      <c r="E24" s="36" t="n">
        <v>1</v>
      </c>
      <c r="F24" s="38" t="n">
        <v>270</v>
      </c>
      <c r="G24" s="9" t="n"/>
      <c r="H24" s="49">
        <f>IFERROR(_xlfn.XLOOKUP(D24,[1]LPU!$C:$C,[1]LPU!$D:$D)*Orçamento_Padrão!E24,F24)</f>
        <v/>
      </c>
    </row>
    <row r="25" ht="17.1" customHeight="1">
      <c r="B25" s="40" t="n">
        <v>2</v>
      </c>
      <c r="C25" s="41" t="inlineStr">
        <is>
          <t>Avarias de Devolução</t>
        </is>
      </c>
      <c r="D25" s="37" t="inlineStr">
        <is>
          <t>Reparo moldura plástica do para-choque dianteiro esquerdo</t>
        </is>
      </c>
      <c r="E25" s="36" t="n">
        <v>1</v>
      </c>
      <c r="F25" s="38" t="n">
        <v>220</v>
      </c>
      <c r="G25" s="9" t="n"/>
      <c r="H25" s="49">
        <f>IFERROR(_xlfn.XLOOKUP(D25,[1]LPU!$C:$C,[1]LPU!$D:$D)*Orçamento_Padrão!E25,F25)</f>
        <v/>
      </c>
    </row>
    <row r="26" ht="17.1" customHeight="1">
      <c r="B26" s="40" t="n">
        <v>3</v>
      </c>
      <c r="C26" s="41" t="inlineStr">
        <is>
          <t>Avarias de Devolução</t>
        </is>
      </c>
      <c r="D26" s="37" t="inlineStr">
        <is>
          <t>Pintura para-choque traseiro</t>
        </is>
      </c>
      <c r="E26" s="36" t="n">
        <v>1</v>
      </c>
      <c r="F26" s="38" t="n">
        <v>320</v>
      </c>
      <c r="G26" s="9" t="n"/>
      <c r="H26" s="49">
        <f>IFERROR(_xlfn.XLOOKUP(D26,[1]LPU!$C:$C,[1]LPU!$D:$D)*Orçamento_Padrão!E26,F26)</f>
        <v/>
      </c>
    </row>
    <row r="27" ht="17.1" customHeight="1">
      <c r="B27" s="40" t="n">
        <v>4</v>
      </c>
      <c r="C27" s="41" t="inlineStr">
        <is>
          <t>Avarias de Devolução</t>
        </is>
      </c>
      <c r="D27" s="37" t="inlineStr">
        <is>
          <t>Serviço higienização Interna</t>
        </is>
      </c>
      <c r="E27" s="36" t="n">
        <v>1</v>
      </c>
      <c r="F27" s="38" t="n">
        <v>250</v>
      </c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79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UAI8J51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ONIX PLUS LTZ 1.0 12V TURBO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1060</v>
      </c>
    </row>
    <row r="12" ht="20.1" customHeight="1">
      <c r="B12" s="19" t="inlineStr">
        <is>
          <t>Cor:</t>
        </is>
      </c>
      <c r="C12" s="78" t="inlineStr">
        <is>
          <t>PRATA SHARK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Reparo peça plástica do para-choque dianteiro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270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Reparo moldura plástica do para-choque dianteiro esquerdo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220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  <row r="48" ht="18.95" customHeight="1">
      <c r="A48" s="130" t="n"/>
      <c r="B48" s="50" t="n">
        <v>3</v>
      </c>
      <c r="C48" s="129" t="inlineStr">
        <is>
          <t>Pintura para-choque traseiro</t>
        </is>
      </c>
      <c r="D48" s="34" t="n"/>
      <c r="E48" s="34" t="n"/>
      <c r="F48" s="34" t="n"/>
      <c r="G48" s="34" t="n"/>
      <c r="H48" s="34" t="n"/>
      <c r="I48" s="128" t="n"/>
      <c r="J48" s="50" t="n"/>
      <c r="K48" s="51" t="n">
        <v>320</v>
      </c>
      <c r="L48" s="130" t="n"/>
    </row>
    <row r="49" ht="16.5" customHeight="1">
      <c r="C49" s="131" t="n"/>
      <c r="D49" s="131" t="n"/>
      <c r="E49" s="131" t="n"/>
      <c r="F49" s="131" t="n"/>
      <c r="G49" s="131" t="n"/>
      <c r="H49" s="131" t="n"/>
      <c r="J49" s="131" t="n"/>
      <c r="K49" s="131" t="n"/>
    </row>
    <row r="50" ht="18.95" customHeight="1"/>
    <row r="51" ht="16.5" customHeight="1"/>
    <row r="52" ht="20.45" customHeight="1"/>
    <row r="53" ht="20.45" customHeight="1"/>
    <row r="54" ht="17.45" customHeight="1"/>
    <row r="55" ht="20.1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8.6" customHeight="1">
      <c r="B63" s="132" t="n"/>
      <c r="C63" s="132" t="n"/>
      <c r="D63" s="132" t="n"/>
      <c r="E63" s="132" t="n"/>
      <c r="F63" s="132" t="n"/>
      <c r="G63" s="132" t="n"/>
      <c r="H63" s="132" t="n"/>
      <c r="I63" s="132" t="n"/>
      <c r="J63" s="132" t="n"/>
      <c r="K63" s="132" t="n"/>
    </row>
    <row r="64" ht="18.95" customHeight="1">
      <c r="A64" s="130" t="n"/>
      <c r="B64" s="50" t="n">
        <v>4</v>
      </c>
      <c r="C64" s="129" t="inlineStr">
        <is>
          <t>Serviço higienização Interna</t>
        </is>
      </c>
      <c r="D64" s="34" t="n"/>
      <c r="E64" s="34" t="n"/>
      <c r="F64" s="34" t="n"/>
      <c r="G64" s="34" t="n"/>
      <c r="H64" s="34" t="n"/>
      <c r="I64" s="128" t="n"/>
      <c r="J64" s="50" t="n"/>
      <c r="K64" s="51" t="n">
        <v>250</v>
      </c>
      <c r="L64" s="130" t="n"/>
    </row>
    <row r="65" ht="16.5" customHeight="1">
      <c r="C65" s="131" t="n"/>
      <c r="D65" s="131" t="n"/>
      <c r="E65" s="131" t="n"/>
      <c r="F65" s="131" t="n"/>
      <c r="G65" s="131" t="n"/>
      <c r="H65" s="131" t="n"/>
      <c r="J65" s="131" t="n"/>
      <c r="K65" s="131" t="n"/>
    </row>
    <row r="66" ht="18.95" customHeight="1"/>
    <row r="67" ht="16.5" customHeight="1"/>
    <row r="68" ht="20.45" customHeight="1"/>
    <row r="69" ht="20.45" customHeight="1"/>
    <row r="70" ht="17.45" customHeight="1"/>
    <row r="71" ht="20.1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8.6" customHeight="1">
      <c r="B79" s="132" t="n"/>
      <c r="C79" s="132" t="n"/>
      <c r="D79" s="132" t="n"/>
      <c r="E79" s="132" t="n"/>
      <c r="F79" s="132" t="n"/>
      <c r="G79" s="132" t="n"/>
      <c r="H79" s="132" t="n"/>
      <c r="I79" s="132" t="n"/>
      <c r="J79" s="132" t="n"/>
      <c r="K79" s="132" t="n"/>
    </row>
  </sheetData>
  <mergeCells count="7">
    <mergeCell ref="K11:K12"/>
    <mergeCell ref="C48:I48"/>
    <mergeCell ref="E10:F10"/>
    <mergeCell ref="C64:I64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2026-01-31T16:33:09Z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