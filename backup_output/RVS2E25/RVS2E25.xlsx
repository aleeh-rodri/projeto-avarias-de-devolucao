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name="Orçamento_Padrão" sheetId="1" state="visible" r:id="rId1"/>
    <sheet name="LPU" sheetId="2" state="hidden" r:id="rId2"/>
    <sheet name="Detalhamento_Avarias" sheetId="3" state="visible" r:id="rId3"/>
    <sheet name="Checklist" sheetId="4" state="hidden" r:id="rId4"/>
  </sheets>
  <externalReferences>
    <externalReference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0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externalLink" Target="/xl/externalLinks/externalLink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61458" y="469900"/>
          <a:ext cx="1266030" cy="5461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" y="0"/>
          <a:ext cx="5898444" cy="402252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05834" y="4080489"/>
          <a:ext cx="5792611" cy="396875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27000" y="8170334"/>
          <a:ext cx="5806853" cy="4022650"/>
        </a:xfrm>
        <a:prstGeom prst="rect">
          <avLst/>
        </a:prstGeom>
        <a:ln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RVS2E25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KWID ZEN 1.0 12V SCE FLEX 4P C/AR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>
        <is>
          <t>BRANCO GLACIER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>
        <f>IF(D24&gt;"",1,"")</f>
        <v/>
      </c>
      <c r="C24" s="41">
        <f>IF(D24&gt;"","Avarias de Devolução","")</f>
        <v/>
      </c>
      <c r="D24" s="37" t="n"/>
      <c r="E24" s="36" t="n"/>
      <c r="F24" s="38" t="n"/>
      <c r="G24" s="9" t="n"/>
      <c r="H24" s="49">
        <f>IFERROR(_xlfn.XLOOKUP(D24,[1]LPU!$C:$C,[1]LPU!$D:$D)*Orçamento_Padrão!E24,F24)</f>
        <v/>
      </c>
    </row>
    <row r="25" ht="17.1" customHeight="1">
      <c r="B25" s="40">
        <f>IF(D25&gt;"",SUM(B24+1),"")</f>
        <v/>
      </c>
      <c r="C25" s="41">
        <f>IF(D25&gt;"","Avarias de Devolução","")</f>
        <v/>
      </c>
      <c r="D25" s="37" t="n"/>
      <c r="E25" s="36" t="n"/>
      <c r="F25" s="38" t="n"/>
      <c r="G25" s="9" t="n"/>
      <c r="H25" s="49">
        <f>IFERROR(_xlfn.XLOOKUP(D25,[1]LPU!$C:$C,[1]LPU!$D:$D)*Orçamento_Padrão!E25,F25)</f>
        <v/>
      </c>
    </row>
    <row r="26" ht="17.1" customHeight="1">
      <c r="B26" s="40">
        <f>IF(D26&gt;"",SUM(B25+1),"")</f>
        <v/>
      </c>
      <c r="C26" s="41">
        <f>IF(D26&gt;"","Avarias de Devolução","")</f>
        <v/>
      </c>
      <c r="D26" s="37" t="n"/>
      <c r="E26" s="36" t="n"/>
      <c r="F26" s="38" t="n"/>
      <c r="G26" s="9" t="n"/>
      <c r="H26" s="49">
        <f>IFERROR(_xlfn.XLOOKUP(D26,[1]LPU!$C:$C,[1]LPU!$D:$D)*Orçamento_Padrão!E26,F26)</f>
        <v/>
      </c>
    </row>
    <row r="27" ht="17.1" customHeight="1">
      <c r="B27" s="40">
        <f>IF(D27&gt;"",SUM(B26+1),"")</f>
        <v/>
      </c>
      <c r="C27" s="41">
        <f>IF(D27&gt;"","Avarias de Devolução","")</f>
        <v/>
      </c>
      <c r="D27" s="37" t="n"/>
      <c r="E27" s="36" t="n"/>
      <c r="F27" s="38" t="n"/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47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RVS2E25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KWID ZEN 1.0 12V SCE FLEX 4P C/AR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0</v>
      </c>
    </row>
    <row r="12" ht="20.1" customHeight="1">
      <c r="B12" s="19" t="inlineStr">
        <is>
          <t>Cor:</t>
        </is>
      </c>
      <c r="C12" s="78" t="inlineStr">
        <is>
          <t>BRANCO GLACIER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>
        <f>Orçamento_Padrão!D24</f>
        <v/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>
        <f>Orçamento_Padrão!F24</f>
        <v/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>
        <v>2</v>
      </c>
      <c r="C32" s="129">
        <f>Orçamento_Padrão!D25</f>
        <v/>
      </c>
      <c r="D32" s="34" t="n"/>
      <c r="E32" s="34" t="n"/>
      <c r="F32" s="34" t="n"/>
      <c r="G32" s="34" t="n"/>
      <c r="H32" s="34" t="n"/>
      <c r="I32" s="128" t="n"/>
      <c r="J32" s="50" t="inlineStr">
        <is>
          <t>Valor</t>
        </is>
      </c>
      <c r="K32" s="51">
        <f>Orçamento_Padrão!F25</f>
        <v/>
      </c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</sheetData>
  <mergeCells count="5">
    <mergeCell ref="K11:K12"/>
    <mergeCell ref="E10:F1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Gabriel Inocencio</dc:creator>
  <dcterms:created xsi:type="dcterms:W3CDTF">2024-12-20T13:12:30Z</dcterms:created>
  <dcterms:modified xsi:type="dcterms:W3CDTF">2026-01-31T14:37:05Z</dcterms:modified>
  <cp:lastModifiedBy>Caio Albanese</cp:lastModifiedBy>
  <cp:lastPrinted>2025-10-23T13:59:25Z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0x010100967727D1AFFAEB408E912012BBEF688E</vt:lpwstr>
  </property>
  <property name="MediaServiceImageTags" fmtid="{D5CDD505-2E9C-101B-9397-08002B2CF9AE}" pid="3">
    <vt:lpwstr/>
  </property>
</Properties>
</file>